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Crudos" sheetId="1" state="visible" r:id="rId3"/>
    <sheet name="Datos_Limpios" sheetId="2" state="visible" r:id="rId4"/>
    <sheet name="Análisis" sheetId="3" state="visible" r:id="rId5"/>
    <sheet name="DASHBOARD" sheetId="4" state="visible" r:id="rId6"/>
    <sheet name="Instrucciones_I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<sst xmlns="http://schemas.openxmlformats.org/spreadsheetml/2006/main" count="582" uniqueCount="221">
  <si>
    <t xml:space="preserve">REGISTRO DE FALLAS - ROBOTS DE ENSAMBLAJE INDUSTRIAL | Planta Mecatrónica EAN 2024</t>
  </si>
  <si>
    <t xml:space="preserve">ID_Falla</t>
  </si>
  <si>
    <t xml:space="preserve">Fecha</t>
  </si>
  <si>
    <t xml:space="preserve">Robot_ID</t>
  </si>
  <si>
    <t xml:space="preserve">Tipo_Falla</t>
  </si>
  <si>
    <t xml:space="preserve">Componente</t>
  </si>
  <si>
    <t xml:space="preserve">Tiempo_Paro_hrs</t>
  </si>
  <si>
    <t xml:space="preserve">Costo_Reparacion_USD</t>
  </si>
  <si>
    <t xml:space="preserve">Operario</t>
  </si>
  <si>
    <t xml:space="preserve">Turno</t>
  </si>
  <si>
    <t xml:space="preserve">Estado</t>
  </si>
  <si>
    <t xml:space="preserve">F-0001</t>
  </si>
  <si>
    <t xml:space="preserve">2024-01-21</t>
  </si>
  <si>
    <t xml:space="preserve">ROB-005</t>
  </si>
  <si>
    <t xml:space="preserve">Eléctrica</t>
  </si>
  <si>
    <t xml:space="preserve">Motor principal</t>
  </si>
  <si>
    <t xml:space="preserve">Carlos M.</t>
  </si>
  <si>
    <t xml:space="preserve">Noche</t>
  </si>
  <si>
    <t xml:space="preserve">Pendiente</t>
  </si>
  <si>
    <t xml:space="preserve">F-0002</t>
  </si>
  <si>
    <t xml:space="preserve">2024-01-03</t>
  </si>
  <si>
    <t xml:space="preserve">ROB-001</t>
  </si>
  <si>
    <t xml:space="preserve">Sensor</t>
  </si>
  <si>
    <t xml:space="preserve">Cilindro hidráulico</t>
  </si>
  <si>
    <t xml:space="preserve">Diana F.</t>
  </si>
  <si>
    <t xml:space="preserve">Resuelto</t>
  </si>
  <si>
    <t xml:space="preserve">F-0003</t>
  </si>
  <si>
    <t xml:space="preserve">2024-02-18</t>
  </si>
  <si>
    <t xml:space="preserve">ROB-007</t>
  </si>
  <si>
    <t xml:space="preserve">Mecánica</t>
  </si>
  <si>
    <t xml:space="preserve">Panel HMI</t>
  </si>
  <si>
    <t xml:space="preserve">Mañana</t>
  </si>
  <si>
    <t xml:space="preserve">En proceso</t>
  </si>
  <si>
    <t xml:space="preserve">F-0004</t>
  </si>
  <si>
    <t xml:space="preserve">2024-02-11</t>
  </si>
  <si>
    <t xml:space="preserve">ROB-004</t>
  </si>
  <si>
    <t xml:space="preserve">Neumática</t>
  </si>
  <si>
    <t xml:space="preserve">PLC</t>
  </si>
  <si>
    <t xml:space="preserve">Tarde</t>
  </si>
  <si>
    <t xml:space="preserve">F-0005</t>
  </si>
  <si>
    <t xml:space="preserve">2024-03-12</t>
  </si>
  <si>
    <t xml:space="preserve">Reductor planetario</t>
  </si>
  <si>
    <t xml:space="preserve">F-0006</t>
  </si>
  <si>
    <t xml:space="preserve">2024-03-03</t>
  </si>
  <si>
    <t xml:space="preserve">ROB-006</t>
  </si>
  <si>
    <t xml:space="preserve">Válvula solenoide</t>
  </si>
  <si>
    <t xml:space="preserve">F-0007</t>
  </si>
  <si>
    <t xml:space="preserve">2024-04-25</t>
  </si>
  <si>
    <t xml:space="preserve">Actuador lineal</t>
  </si>
  <si>
    <t xml:space="preserve">Pedro G.</t>
  </si>
  <si>
    <t xml:space="preserve">F-0008</t>
  </si>
  <si>
    <t xml:space="preserve">2024-04-06</t>
  </si>
  <si>
    <t xml:space="preserve">Encoder rotativo</t>
  </si>
  <si>
    <t xml:space="preserve">Miguel A.</t>
  </si>
  <si>
    <t xml:space="preserve">F-0009</t>
  </si>
  <si>
    <t xml:space="preserve">2024-05-20</t>
  </si>
  <si>
    <t xml:space="preserve">Hidráulica</t>
  </si>
  <si>
    <t xml:space="preserve">F-0010</t>
  </si>
  <si>
    <t xml:space="preserve">2024-05-08</t>
  </si>
  <si>
    <t xml:space="preserve">Luisa R.</t>
  </si>
  <si>
    <t xml:space="preserve">F-0011</t>
  </si>
  <si>
    <t xml:space="preserve">2024-06-03</t>
  </si>
  <si>
    <t xml:space="preserve">F-0012</t>
  </si>
  <si>
    <t xml:space="preserve">2024-06-09</t>
  </si>
  <si>
    <t xml:space="preserve">Sensor posición</t>
  </si>
  <si>
    <t xml:space="preserve">F-0013</t>
  </si>
  <si>
    <t xml:space="preserve">2024-07-08</t>
  </si>
  <si>
    <t xml:space="preserve">ROB-008</t>
  </si>
  <si>
    <t xml:space="preserve">F-0014</t>
  </si>
  <si>
    <t xml:space="preserve">2024-07-26</t>
  </si>
  <si>
    <t xml:space="preserve">ROB-002</t>
  </si>
  <si>
    <t xml:space="preserve">F-0015</t>
  </si>
  <si>
    <t xml:space="preserve">2024-08-18</t>
  </si>
  <si>
    <t xml:space="preserve">F-0016</t>
  </si>
  <si>
    <t xml:space="preserve">2024-08-15</t>
  </si>
  <si>
    <t xml:space="preserve">ROB-003</t>
  </si>
  <si>
    <t xml:space="preserve">F-0017</t>
  </si>
  <si>
    <t xml:space="preserve">2024-09-20</t>
  </si>
  <si>
    <t xml:space="preserve">F-0018</t>
  </si>
  <si>
    <t xml:space="preserve">2024-09-11</t>
  </si>
  <si>
    <t xml:space="preserve">Software</t>
  </si>
  <si>
    <t xml:space="preserve">F-0019</t>
  </si>
  <si>
    <t xml:space="preserve">2024-10-08</t>
  </si>
  <si>
    <t xml:space="preserve">F-0020</t>
  </si>
  <si>
    <t xml:space="preserve">2024-10-22</t>
  </si>
  <si>
    <t xml:space="preserve">F-0021</t>
  </si>
  <si>
    <t xml:space="preserve">2024-11-25</t>
  </si>
  <si>
    <t xml:space="preserve">F-0022</t>
  </si>
  <si>
    <t xml:space="preserve">2024-11-15</t>
  </si>
  <si>
    <t xml:space="preserve">F-0023</t>
  </si>
  <si>
    <t xml:space="preserve">2024-12-08</t>
  </si>
  <si>
    <t xml:space="preserve">F-0024</t>
  </si>
  <si>
    <t xml:space="preserve">Servo drive</t>
  </si>
  <si>
    <t xml:space="preserve">F-0025</t>
  </si>
  <si>
    <t xml:space="preserve">2024-01-08</t>
  </si>
  <si>
    <t xml:space="preserve">F-0026</t>
  </si>
  <si>
    <t xml:space="preserve">2024-01-15</t>
  </si>
  <si>
    <t xml:space="preserve">F-0027</t>
  </si>
  <si>
    <t xml:space="preserve">2024-02-07</t>
  </si>
  <si>
    <t xml:space="preserve">Ana P.</t>
  </si>
  <si>
    <t xml:space="preserve">F-0028</t>
  </si>
  <si>
    <t xml:space="preserve">2024-02-26</t>
  </si>
  <si>
    <t xml:space="preserve">F-0029</t>
  </si>
  <si>
    <t xml:space="preserve">2024-03-06</t>
  </si>
  <si>
    <t xml:space="preserve">F-0030</t>
  </si>
  <si>
    <t xml:space="preserve">2024-03-01</t>
  </si>
  <si>
    <t xml:space="preserve">F-0031</t>
  </si>
  <si>
    <t xml:space="preserve">2024-04-05</t>
  </si>
  <si>
    <t xml:space="preserve">F-0032</t>
  </si>
  <si>
    <t xml:space="preserve">2024-04-02</t>
  </si>
  <si>
    <t xml:space="preserve">F-0033</t>
  </si>
  <si>
    <t xml:space="preserve">2024-05-03</t>
  </si>
  <si>
    <t xml:space="preserve">F-0034</t>
  </si>
  <si>
    <t xml:space="preserve">2024-05-19</t>
  </si>
  <si>
    <t xml:space="preserve">F-0035</t>
  </si>
  <si>
    <t xml:space="preserve">2024-06-07</t>
  </si>
  <si>
    <t xml:space="preserve">F-0036</t>
  </si>
  <si>
    <t xml:space="preserve">2024-06-11</t>
  </si>
  <si>
    <t xml:space="preserve">F-0037</t>
  </si>
  <si>
    <t xml:space="preserve">2024-07-07</t>
  </si>
  <si>
    <t xml:space="preserve">F-0038</t>
  </si>
  <si>
    <t xml:space="preserve">2024-07-06</t>
  </si>
  <si>
    <t xml:space="preserve">F-0039</t>
  </si>
  <si>
    <t xml:space="preserve">2024-08-22</t>
  </si>
  <si>
    <t xml:space="preserve">F-0040</t>
  </si>
  <si>
    <t xml:space="preserve">2024-08-05</t>
  </si>
  <si>
    <t xml:space="preserve">F-0041</t>
  </si>
  <si>
    <t xml:space="preserve">2024-09-16</t>
  </si>
  <si>
    <t xml:space="preserve">F-0042</t>
  </si>
  <si>
    <t xml:space="preserve">2024-09-25</t>
  </si>
  <si>
    <t xml:space="preserve">F-0043</t>
  </si>
  <si>
    <t xml:space="preserve">2024-10-04</t>
  </si>
  <si>
    <t xml:space="preserve">F-0044</t>
  </si>
  <si>
    <t xml:space="preserve">2024-10-02</t>
  </si>
  <si>
    <t xml:space="preserve">F-0045</t>
  </si>
  <si>
    <t xml:space="preserve">2024-11-12</t>
  </si>
  <si>
    <t xml:space="preserve">F-0046</t>
  </si>
  <si>
    <t xml:space="preserve">2024-11-01</t>
  </si>
  <si>
    <t xml:space="preserve">F-0047</t>
  </si>
  <si>
    <t xml:space="preserve">2024-12-26</t>
  </si>
  <si>
    <t xml:space="preserve">F-0048</t>
  </si>
  <si>
    <t xml:space="preserve">2024-12-12</t>
  </si>
  <si>
    <t xml:space="preserve">F-0049</t>
  </si>
  <si>
    <t xml:space="preserve">2024-01-25</t>
  </si>
  <si>
    <t xml:space="preserve">F-0050</t>
  </si>
  <si>
    <t xml:space="preserve">2024-01-09</t>
  </si>
  <si>
    <t xml:space="preserve">F-0051</t>
  </si>
  <si>
    <t xml:space="preserve">2024-02-14</t>
  </si>
  <si>
    <t xml:space="preserve">F-0052</t>
  </si>
  <si>
    <t xml:space="preserve">2024-02-01</t>
  </si>
  <si>
    <t xml:space="preserve">F-0053</t>
  </si>
  <si>
    <t xml:space="preserve">2024-03-11</t>
  </si>
  <si>
    <t xml:space="preserve">F-0054</t>
  </si>
  <si>
    <t xml:space="preserve">2024-03-18</t>
  </si>
  <si>
    <t xml:space="preserve">F-0055</t>
  </si>
  <si>
    <t xml:space="preserve">2024-04-19</t>
  </si>
  <si>
    <t xml:space="preserve">F-0056</t>
  </si>
  <si>
    <t xml:space="preserve">2024-04-15</t>
  </si>
  <si>
    <t xml:space="preserve">F-0057</t>
  </si>
  <si>
    <t xml:space="preserve">2024-05-10</t>
  </si>
  <si>
    <t xml:space="preserve">F-0058</t>
  </si>
  <si>
    <t xml:space="preserve">F-0059</t>
  </si>
  <si>
    <t xml:space="preserve">2024-06-14</t>
  </si>
  <si>
    <t xml:space="preserve">F-0060</t>
  </si>
  <si>
    <t xml:space="preserve">2024-06-21</t>
  </si>
  <si>
    <t xml:space="preserve">DATOS LIMPIOS Y ENRIQUECIDOS CON IA | Análisis de Fallas Mecatrónicas</t>
  </si>
  <si>
    <t xml:space="preserve">Costo_USD</t>
  </si>
  <si>
    <t xml:space="preserve">Mes</t>
  </si>
  <si>
    <t xml:space="preserve">Semestre</t>
  </si>
  <si>
    <t xml:space="preserve">Criticidad</t>
  </si>
  <si>
    <t xml:space="preserve">ANÁLISIS ESTADÍSTICO | Robots de Ensamblaje Industrial</t>
  </si>
  <si>
    <t xml:space="preserve">FALLAS POR TIPO</t>
  </si>
  <si>
    <t xml:space="preserve">KPIs GLOBALES</t>
  </si>
  <si>
    <t xml:space="preserve">FALLAS POR ROBOT</t>
  </si>
  <si>
    <t xml:space="preserve">Tipo de Falla</t>
  </si>
  <si>
    <t xml:space="preserve">N° Fallas</t>
  </si>
  <si>
    <t xml:space="preserve">% del Total</t>
  </si>
  <si>
    <t xml:space="preserve">Total Fallas Registradas</t>
  </si>
  <si>
    <t xml:space="preserve">Robot</t>
  </si>
  <si>
    <t xml:space="preserve">Costo Total</t>
  </si>
  <si>
    <t xml:space="preserve">Costo Total Reparaciones</t>
  </si>
  <si>
    <t xml:space="preserve">Costo Promedio por Falla</t>
  </si>
  <si>
    <t xml:space="preserve">Tiempo Paro Total (hrs)</t>
  </si>
  <si>
    <t xml:space="preserve">Tiempo Paro Promedio (hrs)</t>
  </si>
  <si>
    <t xml:space="preserve">Fallas Críticas</t>
  </si>
  <si>
    <t xml:space="preserve">Fallas de Alta Criticidad</t>
  </si>
  <si>
    <t xml:space="preserve">TOTAL</t>
  </si>
  <si>
    <t xml:space="preserve">Robot con más fallas</t>
  </si>
  <si>
    <t xml:space="preserve">🔧  DASHBOARD DE MANTENIMIENTO PREDICTIVO | PLANTA MECATRÓNICA EAN</t>
  </si>
  <si>
    <t xml:space="preserve">Análisis con IA • Módulo 3 EAN • Ingeniería Mecatrónica 2024</t>
  </si>
  <si>
    <t xml:space="preserve">TOTAL FALLAS</t>
  </si>
  <si>
    <t xml:space="preserve">COSTO TOTAL</t>
  </si>
  <si>
    <t xml:space="preserve">HORAS PARO</t>
  </si>
  <si>
    <t xml:space="preserve">FALLAS CRÍTICAS</t>
  </si>
  <si>
    <t xml:space="preserve">COSTO PROMEDIO</t>
  </si>
  <si>
    <t xml:space="preserve">PARO PROMEDIO (hrs)</t>
  </si>
  <si>
    <t xml:space="preserve">ANÁLISIS POR TIPO DE FALLA</t>
  </si>
  <si>
    <t xml:space="preserve">DISTRIBUCIÓN % DE FALLAS</t>
  </si>
  <si>
    <t xml:space="preserve">RESUMEN POR ROBOT</t>
  </si>
  <si>
    <t xml:space="preserve">Fallas</t>
  </si>
  <si>
    <t xml:space="preserve">INSTRUCCIONES DE USO CON IA (Copilot / Ideas)</t>
  </si>
  <si>
    <t xml:space="preserve">Herramienta</t>
  </si>
  <si>
    <t xml:space="preserve">Instrucción sugerida para IA</t>
  </si>
  <si>
    <t xml:space="preserve">Excel Ideas</t>
  </si>
  <si>
    <t xml:space="preserve">Selecciona rango Datos_Limpios!A2:L62 → Insertar → Ideas</t>
  </si>
  <si>
    <t xml:space="preserve">Copilot - Análisis</t>
  </si>
  <si>
    <t xml:space="preserve">'Analiza las fallas más frecuentes por tipo y robot'</t>
  </si>
  <si>
    <t xml:space="preserve">Copilot - Gráfico</t>
  </si>
  <si>
    <t xml:space="preserve">'Crea un gráfico de barras de fallas por mes del año 2024'</t>
  </si>
  <si>
    <t xml:space="preserve">Copilot - Fórmula</t>
  </si>
  <si>
    <t xml:space="preserve">'Genera una fórmula para calcular el MTBF por robot'</t>
  </si>
  <si>
    <t xml:space="preserve">Copilot - Resumen</t>
  </si>
  <si>
    <t xml:space="preserve">'Resume los robots con mayor costo de mantenimiento'</t>
  </si>
  <si>
    <t xml:space="preserve">Power Query</t>
  </si>
  <si>
    <t xml:space="preserve">Datos → Obtener datos → Desde tabla/rango → Limpiar</t>
  </si>
  <si>
    <t xml:space="preserve">Tabla Dinámica</t>
  </si>
  <si>
    <t xml:space="preserve">Insertar → Tabla dinámica → Datos_Limpios → Tipo vs Costo</t>
  </si>
  <si>
    <t xml:space="preserve">Segmentador</t>
  </si>
  <si>
    <t xml:space="preserve">Insertar → Segmentador de datos → Turno, Robot, Criticidad</t>
  </si>
  <si>
    <t xml:space="preserve">Formato Condicional</t>
  </si>
  <si>
    <t xml:space="preserve">Inicio → Formato condicional → Escala de color en costos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</si>
</sst>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General"/>
    <numFmt numFmtId="167" formatCode="0.0%"/>
    <numFmt numFmtId="168" formatCode="#,##0.0"/>
    <numFmt numFmtId="169" formatCode="#,##0"/>
    <numFmt numFmtId="170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7B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C55A11"/>
        <bgColor rgb="FFC0504D"/>
      </patternFill>
    </fill>
    <fill>
      <patternFill patternType="solid">
        <fgColor rgb="FFC00000"/>
        <bgColor rgb="FF800000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4BACC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9999"/>
        </patternFill>
      </fill>
    </dxf>
    <dxf>
      <fill>
        <patternFill>
          <bgColor rgb="FFFFD96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B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99"/>
      <rgbColor rgb="FFCC99FF"/>
      <rgbColor rgb="FFFFD966"/>
      <rgbColor rgb="FF2E75B6"/>
      <rgbColor rgb="FF4BACC6"/>
      <rgbColor rgb="FF9BBB59"/>
      <rgbColor rgb="FFFFCC00"/>
      <rgbColor rgb="FFF79646"/>
      <rgbColor rgb="FFC55A11"/>
      <rgbColor rgb="FF8064A2"/>
      <rgbColor rgb="FF4F81BD"/>
      <rgbColor rgb="FF1F3864"/>
      <rgbColor rgb="FF00B05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Fallas por Tipo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Análisis!B4</c:f>
              <c:strCache>
                <c:ptCount val="1"/>
                <c:pt idx="0">
                  <c:v>N° Fallas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Análisis!$A$5:$A$10</c:f>
              <c:strCache>
                <c:ptCount val="6"/>
                <c:pt idx="0">
                  <c:v>Eléctrica</c:v>
                </c:pt>
                <c:pt idx="1">
                  <c:v>Mecánica</c:v>
                </c:pt>
                <c:pt idx="2">
                  <c:v>Neumática</c:v>
                </c:pt>
                <c:pt idx="3">
                  <c:v>Software</c:v>
                </c:pt>
                <c:pt idx="4">
                  <c:v>Sensor</c:v>
                </c:pt>
                <c:pt idx="5">
                  <c:v>Hidráulica</c:v>
                </c:pt>
              </c:strCache>
            </c:strRef>
          </c:cat>
          <c:val>
            <c:numRef>
              <c:f>Análisis!$B$5:$B$10</c:f>
              <c:numCache>
                <c:formatCode>General</c:formatCode>
                <c:ptCount val="6"/>
                <c:pt idx="0">
                  <c:v>8</c:v>
                </c:pt>
                <c:pt idx="1">
                  <c:v>12</c:v>
                </c:pt>
                <c:pt idx="2">
                  <c:v>11</c:v>
                </c:pt>
                <c:pt idx="3">
                  <c:v>7</c:v>
                </c:pt>
                <c:pt idx="4">
                  <c:v>12</c:v>
                </c:pt>
                <c:pt idx="5">
                  <c:v>10</c:v>
                </c:pt>
              </c:numCache>
            </c:numRef>
          </c:val>
        </c:ser>
        <c:gapWidth val="150"/>
        <c:overlap val="0"/>
        <c:axId val="13932948"/>
        <c:axId val="24247102"/>
      </c:barChart>
      <c:catAx>
        <c:axId val="139329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Tipo de Falla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47102"/>
        <c:crosses val="autoZero"/>
        <c:auto val="1"/>
        <c:lblAlgn val="ctr"/>
        <c:lblOffset val="100"/>
        <c:noMultiLvlLbl val="0"/>
      </c:catAx>
      <c:valAx>
        <c:axId val="242471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N° de Fallas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329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% de Fallas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Análisis!B4</c:f>
              <c:strCache>
                <c:ptCount val="1"/>
                <c:pt idx="0">
                  <c:v>N° Fallas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Análisis!$A$5:$A$10</c:f>
              <c:strCache>
                <c:ptCount val="6"/>
                <c:pt idx="0">
                  <c:v>Eléctrica</c:v>
                </c:pt>
                <c:pt idx="1">
                  <c:v>Mecánica</c:v>
                </c:pt>
                <c:pt idx="2">
                  <c:v>Neumática</c:v>
                </c:pt>
                <c:pt idx="3">
                  <c:v>Software</c:v>
                </c:pt>
                <c:pt idx="4">
                  <c:v>Sensor</c:v>
                </c:pt>
                <c:pt idx="5">
                  <c:v>Hidráulica</c:v>
                </c:pt>
              </c:strCache>
            </c:strRef>
          </c:cat>
          <c:val>
            <c:numRef>
              <c:f>Análisis!$B$5:$B$10</c:f>
              <c:numCache>
                <c:formatCode>General</c:formatCode>
                <c:ptCount val="6"/>
                <c:pt idx="0">
                  <c:v>8</c:v>
                </c:pt>
                <c:pt idx="1">
                  <c:v>12</c:v>
                </c:pt>
                <c:pt idx="2">
                  <c:v>11</c:v>
                </c:pt>
                <c:pt idx="3">
                  <c:v>7</c:v>
                </c:pt>
                <c:pt idx="4">
                  <c:v>12</c:v>
                </c:pt>
                <c:pt idx="5">
                  <c:v>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Análisis!B4</c:f>
              <c:strCache>
                <c:ptCount val="1"/>
                <c:pt idx="0">
                  <c:v>N° Fallas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Análisis!$A$5:$A$10</c:f>
              <c:strCache>
                <c:ptCount val="6"/>
                <c:pt idx="0">
                  <c:v>Eléctrica</c:v>
                </c:pt>
                <c:pt idx="1">
                  <c:v>Mecánica</c:v>
                </c:pt>
                <c:pt idx="2">
                  <c:v>Neumática</c:v>
                </c:pt>
                <c:pt idx="3">
                  <c:v>Software</c:v>
                </c:pt>
                <c:pt idx="4">
                  <c:v>Sensor</c:v>
                </c:pt>
                <c:pt idx="5">
                  <c:v>Hidráulica</c:v>
                </c:pt>
              </c:strCache>
            </c:strRef>
          </c:cat>
          <c:val>
            <c:numRef>
              <c:f>Análisis!$B$5:$B$10</c:f>
              <c:numCache>
                <c:formatCode>General</c:formatCode>
                <c:ptCount val="6"/>
                <c:pt idx="0">
                  <c:v>8</c:v>
                </c:pt>
                <c:pt idx="1">
                  <c:v>12</c:v>
                </c:pt>
                <c:pt idx="2">
                  <c:v>11</c:v>
                </c:pt>
                <c:pt idx="3">
                  <c:v>7</c:v>
                </c:pt>
                <c:pt idx="4">
                  <c:v>12</c:v>
                </c:pt>
                <c:pt idx="5">
                  <c:v>10</c:v>
                </c:pt>
              </c:numCache>
            </c:numRef>
          </c:val>
        </c:ser>
        <c:gapWidth val="150"/>
        <c:overlap val="0"/>
        <c:axId val="6710626"/>
        <c:axId val="5356840"/>
      </c:barChart>
      <c:catAx>
        <c:axId val="67106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6840"/>
        <c:crosses val="autoZero"/>
        <c:auto val="1"/>
        <c:lblAlgn val="ctr"/>
        <c:lblOffset val="100"/>
        <c:noMultiLvlLbl val="0"/>
      </c:catAx>
      <c:valAx>
        <c:axId val="5356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Fallas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06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Análisis!B4</c:f>
              <c:strCache>
                <c:ptCount val="1"/>
                <c:pt idx="0">
                  <c:v>N° Fallas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Análisis!$A$5:$A$10</c:f>
              <c:strCache>
                <c:ptCount val="6"/>
                <c:pt idx="0">
                  <c:v>Eléctrica</c:v>
                </c:pt>
                <c:pt idx="1">
                  <c:v>Mecánica</c:v>
                </c:pt>
                <c:pt idx="2">
                  <c:v>Neumática</c:v>
                </c:pt>
                <c:pt idx="3">
                  <c:v>Software</c:v>
                </c:pt>
                <c:pt idx="4">
                  <c:v>Sensor</c:v>
                </c:pt>
                <c:pt idx="5">
                  <c:v>Hidráulica</c:v>
                </c:pt>
              </c:strCache>
            </c:strRef>
          </c:cat>
          <c:val>
            <c:numRef>
              <c:f>Análisis!$B$5:$B$10</c:f>
              <c:numCache>
                <c:formatCode>General</c:formatCode>
                <c:ptCount val="6"/>
                <c:pt idx="0">
                  <c:v>8</c:v>
                </c:pt>
                <c:pt idx="1">
                  <c:v>12</c:v>
                </c:pt>
                <c:pt idx="2">
                  <c:v>11</c:v>
                </c:pt>
                <c:pt idx="3">
                  <c:v>7</c:v>
                </c:pt>
                <c:pt idx="4">
                  <c:v>12</c:v>
                </c:pt>
                <c:pt idx="5">
                  <c:v>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4</xdr:col>
      <xdr:colOff>1404720</xdr:colOff>
      <xdr:row>31</xdr:row>
      <xdr:rowOff>170640</xdr:rowOff>
    </xdr:to>
    <xdr:graphicFrame>
      <xdr:nvGraphicFramePr>
        <xdr:cNvPr id="0" name="Chart 1"/>
        <xdr:cNvGraphicFramePr/>
      </xdr:nvGraphicFramePr>
      <xdr:xfrm>
        <a:off x="0" y="26668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13</xdr:row>
      <xdr:rowOff>0</xdr:rowOff>
    </xdr:from>
    <xdr:to>
      <xdr:col>14</xdr:col>
      <xdr:colOff>479160</xdr:colOff>
      <xdr:row>31</xdr:row>
      <xdr:rowOff>170640</xdr:rowOff>
    </xdr:to>
    <xdr:graphicFrame>
      <xdr:nvGraphicFramePr>
        <xdr:cNvPr id="1" name="Chart 2"/>
        <xdr:cNvGraphicFramePr/>
      </xdr:nvGraphicFramePr>
      <xdr:xfrm>
        <a:off x="8694360" y="2666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7</xdr:col>
      <xdr:colOff>276840</xdr:colOff>
      <xdr:row>35</xdr:row>
      <xdr:rowOff>128520</xdr:rowOff>
    </xdr:to>
    <xdr:graphicFrame>
      <xdr:nvGraphicFramePr>
        <xdr:cNvPr id="2" name="Chart 1"/>
        <xdr:cNvGraphicFramePr/>
      </xdr:nvGraphicFramePr>
      <xdr:xfrm>
        <a:off x="0" y="32288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19</xdr:col>
      <xdr:colOff>181800</xdr:colOff>
      <xdr:row>35</xdr:row>
      <xdr:rowOff>128520</xdr:rowOff>
    </xdr:to>
    <xdr:graphicFrame>
      <xdr:nvGraphicFramePr>
        <xdr:cNvPr id="3" name="Chart 2"/>
        <xdr:cNvGraphicFramePr/>
      </xdr:nvGraphicFramePr>
      <xdr:xfrm>
        <a:off x="7471440" y="32288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n">
        <v>12.1</v>
      </c>
      <c r="G3" s="4" t="n">
        <v>557.22</v>
      </c>
      <c r="H3" s="3" t="s">
        <v>16</v>
      </c>
      <c r="I3" s="3" t="s">
        <v>17</v>
      </c>
      <c r="J3" s="3" t="s">
        <v>18</v>
      </c>
    </row>
    <row r="4" customFormat="false" ht="15" hidden="false" customHeight="false" outlineLevel="0" collapsed="false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n">
        <v>1.9</v>
      </c>
      <c r="G4" s="6" t="n">
        <v>827.74</v>
      </c>
      <c r="H4" s="5" t="s">
        <v>24</v>
      </c>
      <c r="I4" s="5" t="s">
        <v>17</v>
      </c>
      <c r="J4" s="5" t="s">
        <v>25</v>
      </c>
    </row>
    <row r="5" customFormat="false" ht="15" hidden="false" customHeight="false" outlineLevel="0" collapsed="false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n">
        <v>11</v>
      </c>
      <c r="G5" s="4" t="n">
        <v>2095.29</v>
      </c>
      <c r="H5" s="3" t="s">
        <v>16</v>
      </c>
      <c r="I5" s="3" t="s">
        <v>31</v>
      </c>
      <c r="J5" s="3" t="s">
        <v>32</v>
      </c>
    </row>
    <row r="6" customFormat="false" ht="15" hidden="false" customHeight="false" outlineLevel="0" collapsed="false">
      <c r="A6" s="5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n">
        <v>46</v>
      </c>
      <c r="G6" s="6" t="n">
        <v>1231.15</v>
      </c>
      <c r="H6" s="5" t="s">
        <v>16</v>
      </c>
      <c r="I6" s="5" t="s">
        <v>38</v>
      </c>
      <c r="J6" s="5" t="s">
        <v>25</v>
      </c>
    </row>
    <row r="7" customFormat="false" ht="15" hidden="false" customHeight="false" outlineLevel="0" collapsed="false">
      <c r="A7" s="3" t="s">
        <v>39</v>
      </c>
      <c r="B7" s="3" t="s">
        <v>40</v>
      </c>
      <c r="C7" s="3" t="s">
        <v>13</v>
      </c>
      <c r="D7" s="3" t="s">
        <v>36</v>
      </c>
      <c r="E7" s="3" t="s">
        <v>41</v>
      </c>
      <c r="F7" s="3" t="n">
        <v>38.8</v>
      </c>
      <c r="G7" s="4" t="n">
        <v>2575.68</v>
      </c>
      <c r="H7" s="3" t="s">
        <v>24</v>
      </c>
      <c r="I7" s="3" t="s">
        <v>31</v>
      </c>
      <c r="J7" s="3" t="s">
        <v>32</v>
      </c>
    </row>
    <row r="8" customFormat="false" ht="15" hidden="false" customHeight="false" outlineLevel="0" collapsed="false">
      <c r="A8" s="5" t="s">
        <v>42</v>
      </c>
      <c r="B8" s="5" t="s">
        <v>43</v>
      </c>
      <c r="C8" s="5" t="s">
        <v>44</v>
      </c>
      <c r="D8" s="5" t="s">
        <v>22</v>
      </c>
      <c r="E8" s="5" t="s">
        <v>45</v>
      </c>
      <c r="F8" s="5" t="n">
        <v>27.9</v>
      </c>
      <c r="G8" s="6" t="n">
        <v>2489.64</v>
      </c>
      <c r="H8" s="5" t="s">
        <v>16</v>
      </c>
      <c r="I8" s="5" t="s">
        <v>17</v>
      </c>
      <c r="J8" s="5" t="s">
        <v>25</v>
      </c>
    </row>
    <row r="9" customFormat="false" ht="15" hidden="false" customHeight="false" outlineLevel="0" collapsed="false">
      <c r="A9" s="3" t="s">
        <v>46</v>
      </c>
      <c r="B9" s="3" t="s">
        <v>47</v>
      </c>
      <c r="C9" s="3" t="s">
        <v>35</v>
      </c>
      <c r="D9" s="3" t="s">
        <v>36</v>
      </c>
      <c r="E9" s="3" t="s">
        <v>48</v>
      </c>
      <c r="F9" s="3" t="n">
        <v>41.7</v>
      </c>
      <c r="G9" s="4" t="n">
        <v>1380.03</v>
      </c>
      <c r="H9" s="3" t="s">
        <v>49</v>
      </c>
      <c r="I9" s="3" t="s">
        <v>17</v>
      </c>
      <c r="J9" s="3" t="s">
        <v>25</v>
      </c>
    </row>
    <row r="10" customFormat="false" ht="15" hidden="false" customHeight="false" outlineLevel="0" collapsed="false">
      <c r="A10" s="5" t="s">
        <v>50</v>
      </c>
      <c r="B10" s="5" t="s">
        <v>51</v>
      </c>
      <c r="C10" s="5" t="s">
        <v>35</v>
      </c>
      <c r="D10" s="5" t="s">
        <v>36</v>
      </c>
      <c r="E10" s="5" t="s">
        <v>52</v>
      </c>
      <c r="F10" s="5" t="n">
        <v>32.3</v>
      </c>
      <c r="G10" s="6" t="n">
        <v>2480.23</v>
      </c>
      <c r="H10" s="5" t="s">
        <v>53</v>
      </c>
      <c r="I10" s="5" t="s">
        <v>17</v>
      </c>
      <c r="J10" s="5" t="s">
        <v>25</v>
      </c>
    </row>
    <row r="11" customFormat="false" ht="15" hidden="false" customHeight="false" outlineLevel="0" collapsed="false">
      <c r="A11" s="3" t="s">
        <v>54</v>
      </c>
      <c r="B11" s="3" t="s">
        <v>55</v>
      </c>
      <c r="C11" s="3" t="s">
        <v>35</v>
      </c>
      <c r="D11" s="3" t="s">
        <v>56</v>
      </c>
      <c r="E11" s="3" t="s">
        <v>37</v>
      </c>
      <c r="F11" s="3" t="n">
        <v>8.3</v>
      </c>
      <c r="G11" s="4" t="n">
        <v>1377.74</v>
      </c>
      <c r="H11" s="3" t="s">
        <v>53</v>
      </c>
      <c r="I11" s="3" t="s">
        <v>17</v>
      </c>
      <c r="J11" s="3" t="s">
        <v>18</v>
      </c>
    </row>
    <row r="12" customFormat="false" ht="15" hidden="false" customHeight="false" outlineLevel="0" collapsed="false">
      <c r="A12" s="5" t="s">
        <v>57</v>
      </c>
      <c r="B12" s="5" t="s">
        <v>58</v>
      </c>
      <c r="C12" s="5" t="s">
        <v>21</v>
      </c>
      <c r="D12" s="5" t="s">
        <v>56</v>
      </c>
      <c r="E12" s="5" t="s">
        <v>52</v>
      </c>
      <c r="F12" s="5" t="n">
        <v>11.4</v>
      </c>
      <c r="G12" s="6" t="n">
        <v>189.78</v>
      </c>
      <c r="H12" s="5" t="s">
        <v>59</v>
      </c>
      <c r="I12" s="5" t="s">
        <v>38</v>
      </c>
      <c r="J12" s="5" t="s">
        <v>25</v>
      </c>
    </row>
    <row r="13" customFormat="false" ht="15" hidden="false" customHeight="false" outlineLevel="0" collapsed="false">
      <c r="A13" s="3" t="s">
        <v>60</v>
      </c>
      <c r="B13" s="3" t="s">
        <v>61</v>
      </c>
      <c r="C13" s="3" t="s">
        <v>44</v>
      </c>
      <c r="D13" s="3" t="s">
        <v>29</v>
      </c>
      <c r="E13" s="3" t="s">
        <v>41</v>
      </c>
      <c r="F13" s="3" t="n">
        <v>10.6</v>
      </c>
      <c r="G13" s="4" t="n">
        <v>1787.37</v>
      </c>
      <c r="H13" s="3" t="s">
        <v>53</v>
      </c>
      <c r="I13" s="3" t="s">
        <v>38</v>
      </c>
      <c r="J13" s="3" t="s">
        <v>25</v>
      </c>
    </row>
    <row r="14" customFormat="false" ht="15" hidden="false" customHeight="false" outlineLevel="0" collapsed="false">
      <c r="A14" s="5" t="s">
        <v>62</v>
      </c>
      <c r="B14" s="5" t="s">
        <v>63</v>
      </c>
      <c r="C14" s="5" t="s">
        <v>13</v>
      </c>
      <c r="D14" s="5" t="s">
        <v>29</v>
      </c>
      <c r="E14" s="5" t="s">
        <v>64</v>
      </c>
      <c r="F14" s="5" t="n">
        <v>36</v>
      </c>
      <c r="G14" s="6" t="n">
        <v>1545.24</v>
      </c>
      <c r="H14" s="5" t="s">
        <v>24</v>
      </c>
      <c r="I14" s="5" t="s">
        <v>38</v>
      </c>
      <c r="J14" s="5" t="s">
        <v>25</v>
      </c>
    </row>
    <row r="15" customFormat="false" ht="15" hidden="false" customHeight="false" outlineLevel="0" collapsed="false">
      <c r="A15" s="3" t="s">
        <v>65</v>
      </c>
      <c r="B15" s="3" t="s">
        <v>66</v>
      </c>
      <c r="C15" s="3" t="s">
        <v>67</v>
      </c>
      <c r="D15" s="3" t="s">
        <v>29</v>
      </c>
      <c r="E15" s="3" t="s">
        <v>30</v>
      </c>
      <c r="F15" s="3" t="n">
        <v>4.8</v>
      </c>
      <c r="G15" s="4" t="n">
        <v>241.14</v>
      </c>
      <c r="H15" s="3" t="s">
        <v>16</v>
      </c>
      <c r="I15" s="3" t="s">
        <v>31</v>
      </c>
      <c r="J15" s="3" t="s">
        <v>25</v>
      </c>
    </row>
    <row r="16" customFormat="false" ht="15" hidden="false" customHeight="false" outlineLevel="0" collapsed="false">
      <c r="A16" s="5" t="s">
        <v>68</v>
      </c>
      <c r="B16" s="5" t="s">
        <v>69</v>
      </c>
      <c r="C16" s="5" t="s">
        <v>70</v>
      </c>
      <c r="D16" s="5" t="s">
        <v>56</v>
      </c>
      <c r="E16" s="5" t="s">
        <v>23</v>
      </c>
      <c r="F16" s="5" t="n">
        <v>18.8</v>
      </c>
      <c r="G16" s="6" t="n">
        <v>2117.94</v>
      </c>
      <c r="H16" s="5" t="s">
        <v>49</v>
      </c>
      <c r="I16" s="5" t="s">
        <v>17</v>
      </c>
      <c r="J16" s="5" t="s">
        <v>25</v>
      </c>
    </row>
    <row r="17" customFormat="false" ht="15" hidden="false" customHeight="false" outlineLevel="0" collapsed="false">
      <c r="A17" s="3" t="s">
        <v>71</v>
      </c>
      <c r="B17" s="3" t="s">
        <v>72</v>
      </c>
      <c r="C17" s="3" t="s">
        <v>13</v>
      </c>
      <c r="D17" s="3" t="s">
        <v>14</v>
      </c>
      <c r="E17" s="3" t="s">
        <v>48</v>
      </c>
      <c r="F17" s="3" t="n">
        <v>37</v>
      </c>
      <c r="G17" s="4" t="n">
        <v>1243.4</v>
      </c>
      <c r="H17" s="3" t="s">
        <v>59</v>
      </c>
      <c r="I17" s="3" t="s">
        <v>38</v>
      </c>
      <c r="J17" s="3" t="s">
        <v>25</v>
      </c>
    </row>
    <row r="18" customFormat="false" ht="15" hidden="false" customHeight="false" outlineLevel="0" collapsed="false">
      <c r="A18" s="5" t="s">
        <v>73</v>
      </c>
      <c r="B18" s="5" t="s">
        <v>74</v>
      </c>
      <c r="C18" s="5" t="s">
        <v>75</v>
      </c>
      <c r="D18" s="5" t="s">
        <v>14</v>
      </c>
      <c r="E18" s="5" t="s">
        <v>45</v>
      </c>
      <c r="F18" s="5" t="n">
        <v>24.6</v>
      </c>
      <c r="G18" s="6" t="n">
        <v>443.93</v>
      </c>
      <c r="H18" s="5" t="s">
        <v>53</v>
      </c>
      <c r="I18" s="5" t="s">
        <v>38</v>
      </c>
      <c r="J18" s="5" t="s">
        <v>18</v>
      </c>
    </row>
    <row r="19" customFormat="false" ht="15" hidden="false" customHeight="false" outlineLevel="0" collapsed="false">
      <c r="A19" s="3" t="s">
        <v>76</v>
      </c>
      <c r="B19" s="3" t="s">
        <v>77</v>
      </c>
      <c r="C19" s="3" t="s">
        <v>44</v>
      </c>
      <c r="D19" s="3" t="s">
        <v>29</v>
      </c>
      <c r="E19" s="3" t="s">
        <v>37</v>
      </c>
      <c r="F19" s="3" t="n">
        <v>36.7</v>
      </c>
      <c r="G19" s="4" t="n">
        <v>1924.68</v>
      </c>
      <c r="H19" s="3" t="s">
        <v>24</v>
      </c>
      <c r="I19" s="3" t="s">
        <v>31</v>
      </c>
      <c r="J19" s="3" t="s">
        <v>18</v>
      </c>
    </row>
    <row r="20" customFormat="false" ht="15" hidden="false" customHeight="false" outlineLevel="0" collapsed="false">
      <c r="A20" s="5" t="s">
        <v>78</v>
      </c>
      <c r="B20" s="5" t="s">
        <v>79</v>
      </c>
      <c r="C20" s="5" t="s">
        <v>70</v>
      </c>
      <c r="D20" s="5" t="s">
        <v>80</v>
      </c>
      <c r="E20" s="5" t="s">
        <v>15</v>
      </c>
      <c r="F20" s="5" t="n">
        <v>44.6</v>
      </c>
      <c r="G20" s="6" t="n">
        <v>3085.23</v>
      </c>
      <c r="H20" s="5" t="s">
        <v>59</v>
      </c>
      <c r="I20" s="5" t="s">
        <v>31</v>
      </c>
      <c r="J20" s="5" t="s">
        <v>25</v>
      </c>
    </row>
    <row r="21" customFormat="false" ht="15" hidden="false" customHeight="false" outlineLevel="0" collapsed="false">
      <c r="A21" s="3" t="s">
        <v>81</v>
      </c>
      <c r="B21" s="3" t="s">
        <v>82</v>
      </c>
      <c r="C21" s="3" t="s">
        <v>70</v>
      </c>
      <c r="D21" s="3" t="s">
        <v>22</v>
      </c>
      <c r="E21" s="3" t="s">
        <v>48</v>
      </c>
      <c r="F21" s="3" t="n">
        <v>35.3</v>
      </c>
      <c r="G21" s="4" t="n">
        <v>2870.8</v>
      </c>
      <c r="H21" s="3" t="s">
        <v>24</v>
      </c>
      <c r="I21" s="3" t="s">
        <v>31</v>
      </c>
      <c r="J21" s="3" t="s">
        <v>25</v>
      </c>
    </row>
    <row r="22" customFormat="false" ht="15" hidden="false" customHeight="false" outlineLevel="0" collapsed="false">
      <c r="A22" s="5" t="s">
        <v>83</v>
      </c>
      <c r="B22" s="5" t="s">
        <v>84</v>
      </c>
      <c r="C22" s="5" t="s">
        <v>75</v>
      </c>
      <c r="D22" s="5" t="s">
        <v>80</v>
      </c>
      <c r="E22" s="5" t="s">
        <v>30</v>
      </c>
      <c r="F22" s="5" t="n">
        <v>13.1</v>
      </c>
      <c r="G22" s="6" t="n">
        <v>3063.72</v>
      </c>
      <c r="H22" s="5" t="s">
        <v>49</v>
      </c>
      <c r="I22" s="5" t="s">
        <v>31</v>
      </c>
      <c r="J22" s="5" t="s">
        <v>18</v>
      </c>
    </row>
    <row r="23" customFormat="false" ht="15" hidden="false" customHeight="false" outlineLevel="0" collapsed="false">
      <c r="A23" s="3" t="s">
        <v>85</v>
      </c>
      <c r="B23" s="3" t="s">
        <v>86</v>
      </c>
      <c r="C23" s="3" t="s">
        <v>13</v>
      </c>
      <c r="D23" s="3" t="s">
        <v>56</v>
      </c>
      <c r="E23" s="3" t="s">
        <v>64</v>
      </c>
      <c r="F23" s="3" t="n">
        <v>19.5</v>
      </c>
      <c r="G23" s="4" t="n">
        <v>2377.17</v>
      </c>
      <c r="H23" s="3" t="s">
        <v>59</v>
      </c>
      <c r="I23" s="3" t="s">
        <v>38</v>
      </c>
      <c r="J23" s="3" t="s">
        <v>18</v>
      </c>
    </row>
    <row r="24" customFormat="false" ht="15" hidden="false" customHeight="false" outlineLevel="0" collapsed="false">
      <c r="A24" s="5" t="s">
        <v>87</v>
      </c>
      <c r="B24" s="5" t="s">
        <v>88</v>
      </c>
      <c r="C24" s="5" t="s">
        <v>35</v>
      </c>
      <c r="D24" s="5" t="s">
        <v>14</v>
      </c>
      <c r="E24" s="5" t="s">
        <v>64</v>
      </c>
      <c r="F24" s="5" t="n">
        <v>3.5</v>
      </c>
      <c r="G24" s="6" t="n">
        <v>151.94</v>
      </c>
      <c r="H24" s="5" t="s">
        <v>24</v>
      </c>
      <c r="I24" s="5" t="s">
        <v>31</v>
      </c>
      <c r="J24" s="5" t="s">
        <v>18</v>
      </c>
    </row>
    <row r="25" customFormat="false" ht="15" hidden="false" customHeight="false" outlineLevel="0" collapsed="false">
      <c r="A25" s="3" t="s">
        <v>89</v>
      </c>
      <c r="B25" s="3" t="s">
        <v>90</v>
      </c>
      <c r="C25" s="3" t="s">
        <v>21</v>
      </c>
      <c r="D25" s="3" t="s">
        <v>14</v>
      </c>
      <c r="E25" s="3" t="s">
        <v>48</v>
      </c>
      <c r="F25" s="3" t="n">
        <v>11.4</v>
      </c>
      <c r="G25" s="4" t="n">
        <v>3176.54</v>
      </c>
      <c r="H25" s="3" t="s">
        <v>59</v>
      </c>
      <c r="I25" s="3" t="s">
        <v>31</v>
      </c>
      <c r="J25" s="3" t="s">
        <v>18</v>
      </c>
    </row>
    <row r="26" customFormat="false" ht="15" hidden="false" customHeight="false" outlineLevel="0" collapsed="false">
      <c r="A26" s="5" t="s">
        <v>91</v>
      </c>
      <c r="B26" s="5" t="s">
        <v>90</v>
      </c>
      <c r="C26" s="5" t="s">
        <v>35</v>
      </c>
      <c r="D26" s="5" t="s">
        <v>36</v>
      </c>
      <c r="E26" s="5" t="s">
        <v>92</v>
      </c>
      <c r="F26" s="5" t="n">
        <v>26.1</v>
      </c>
      <c r="G26" s="6" t="n">
        <v>2553.87</v>
      </c>
      <c r="H26" s="5" t="s">
        <v>24</v>
      </c>
      <c r="I26" s="5" t="s">
        <v>17</v>
      </c>
      <c r="J26" s="5" t="s">
        <v>32</v>
      </c>
    </row>
    <row r="27" customFormat="false" ht="15" hidden="false" customHeight="false" outlineLevel="0" collapsed="false">
      <c r="A27" s="3" t="s">
        <v>93</v>
      </c>
      <c r="B27" s="3" t="s">
        <v>94</v>
      </c>
      <c r="C27" s="3" t="s">
        <v>35</v>
      </c>
      <c r="D27" s="3" t="s">
        <v>80</v>
      </c>
      <c r="E27" s="3" t="s">
        <v>23</v>
      </c>
      <c r="F27" s="3" t="n">
        <v>5</v>
      </c>
      <c r="G27" s="4" t="n">
        <v>2333.72</v>
      </c>
      <c r="H27" s="3" t="s">
        <v>59</v>
      </c>
      <c r="I27" s="3" t="s">
        <v>38</v>
      </c>
      <c r="J27" s="3" t="s">
        <v>32</v>
      </c>
    </row>
    <row r="28" customFormat="false" ht="15" hidden="false" customHeight="false" outlineLevel="0" collapsed="false">
      <c r="A28" s="5" t="s">
        <v>95</v>
      </c>
      <c r="B28" s="5" t="s">
        <v>96</v>
      </c>
      <c r="C28" s="5" t="s">
        <v>70</v>
      </c>
      <c r="D28" s="5" t="s">
        <v>56</v>
      </c>
      <c r="E28" s="5" t="s">
        <v>15</v>
      </c>
      <c r="F28" s="5" t="n">
        <v>3.4</v>
      </c>
      <c r="G28" s="6" t="n">
        <v>2570.49</v>
      </c>
      <c r="H28" s="5" t="s">
        <v>16</v>
      </c>
      <c r="I28" s="5" t="s">
        <v>31</v>
      </c>
      <c r="J28" s="5" t="s">
        <v>25</v>
      </c>
    </row>
    <row r="29" customFormat="false" ht="15" hidden="false" customHeight="false" outlineLevel="0" collapsed="false">
      <c r="A29" s="3" t="s">
        <v>97</v>
      </c>
      <c r="B29" s="3" t="s">
        <v>98</v>
      </c>
      <c r="C29" s="3" t="s">
        <v>75</v>
      </c>
      <c r="D29" s="3" t="s">
        <v>22</v>
      </c>
      <c r="E29" s="3" t="s">
        <v>92</v>
      </c>
      <c r="F29" s="3" t="n">
        <v>20.5</v>
      </c>
      <c r="G29" s="4" t="n">
        <v>1032.62</v>
      </c>
      <c r="H29" s="3" t="s">
        <v>99</v>
      </c>
      <c r="I29" s="3" t="s">
        <v>31</v>
      </c>
      <c r="J29" s="3" t="s">
        <v>32</v>
      </c>
    </row>
    <row r="30" customFormat="false" ht="15" hidden="false" customHeight="false" outlineLevel="0" collapsed="false">
      <c r="A30" s="5" t="s">
        <v>100</v>
      </c>
      <c r="B30" s="5" t="s">
        <v>101</v>
      </c>
      <c r="C30" s="5" t="s">
        <v>21</v>
      </c>
      <c r="D30" s="5" t="s">
        <v>22</v>
      </c>
      <c r="E30" s="5" t="s">
        <v>48</v>
      </c>
      <c r="F30" s="5" t="n">
        <v>31.5</v>
      </c>
      <c r="G30" s="6" t="n">
        <v>1928.81</v>
      </c>
      <c r="H30" s="5" t="s">
        <v>16</v>
      </c>
      <c r="I30" s="5" t="s">
        <v>31</v>
      </c>
      <c r="J30" s="5" t="s">
        <v>25</v>
      </c>
    </row>
    <row r="31" customFormat="false" ht="15" hidden="false" customHeight="false" outlineLevel="0" collapsed="false">
      <c r="A31" s="3" t="s">
        <v>102</v>
      </c>
      <c r="B31" s="3" t="s">
        <v>103</v>
      </c>
      <c r="C31" s="3" t="s">
        <v>67</v>
      </c>
      <c r="D31" s="3" t="s">
        <v>80</v>
      </c>
      <c r="E31" s="3" t="s">
        <v>92</v>
      </c>
      <c r="F31" s="3" t="n">
        <v>10.7</v>
      </c>
      <c r="G31" s="4" t="n">
        <v>1451.56</v>
      </c>
      <c r="H31" s="3" t="s">
        <v>16</v>
      </c>
      <c r="I31" s="3" t="s">
        <v>31</v>
      </c>
      <c r="J31" s="3" t="s">
        <v>32</v>
      </c>
    </row>
    <row r="32" customFormat="false" ht="15" hidden="false" customHeight="false" outlineLevel="0" collapsed="false">
      <c r="A32" s="5" t="s">
        <v>104</v>
      </c>
      <c r="B32" s="5" t="s">
        <v>105</v>
      </c>
      <c r="C32" s="5" t="s">
        <v>67</v>
      </c>
      <c r="D32" s="5" t="s">
        <v>80</v>
      </c>
      <c r="E32" s="5" t="s">
        <v>45</v>
      </c>
      <c r="F32" s="5" t="n">
        <v>14</v>
      </c>
      <c r="G32" s="6" t="n">
        <v>2462.34</v>
      </c>
      <c r="H32" s="5" t="s">
        <v>53</v>
      </c>
      <c r="I32" s="5" t="s">
        <v>17</v>
      </c>
      <c r="J32" s="5" t="s">
        <v>32</v>
      </c>
    </row>
    <row r="33" customFormat="false" ht="15" hidden="false" customHeight="false" outlineLevel="0" collapsed="false">
      <c r="A33" s="3" t="s">
        <v>106</v>
      </c>
      <c r="B33" s="3" t="s">
        <v>107</v>
      </c>
      <c r="C33" s="3" t="s">
        <v>35</v>
      </c>
      <c r="D33" s="3" t="s">
        <v>29</v>
      </c>
      <c r="E33" s="3" t="s">
        <v>45</v>
      </c>
      <c r="F33" s="3" t="n">
        <v>46.5</v>
      </c>
      <c r="G33" s="4" t="n">
        <v>2060.8</v>
      </c>
      <c r="H33" s="3" t="s">
        <v>24</v>
      </c>
      <c r="I33" s="3" t="s">
        <v>31</v>
      </c>
      <c r="J33" s="3" t="s">
        <v>25</v>
      </c>
    </row>
    <row r="34" customFormat="false" ht="15" hidden="false" customHeight="false" outlineLevel="0" collapsed="false">
      <c r="A34" s="5" t="s">
        <v>108</v>
      </c>
      <c r="B34" s="5" t="s">
        <v>109</v>
      </c>
      <c r="C34" s="5" t="s">
        <v>67</v>
      </c>
      <c r="D34" s="5" t="s">
        <v>14</v>
      </c>
      <c r="E34" s="5" t="s">
        <v>41</v>
      </c>
      <c r="F34" s="5" t="n">
        <v>24.4</v>
      </c>
      <c r="G34" s="6" t="n">
        <v>2996.3</v>
      </c>
      <c r="H34" s="5" t="s">
        <v>99</v>
      </c>
      <c r="I34" s="5" t="s">
        <v>31</v>
      </c>
      <c r="J34" s="5" t="s">
        <v>18</v>
      </c>
    </row>
    <row r="35" customFormat="false" ht="15" hidden="false" customHeight="false" outlineLevel="0" collapsed="false">
      <c r="A35" s="3" t="s">
        <v>110</v>
      </c>
      <c r="B35" s="3" t="s">
        <v>111</v>
      </c>
      <c r="C35" s="3" t="s">
        <v>70</v>
      </c>
      <c r="D35" s="3" t="s">
        <v>29</v>
      </c>
      <c r="E35" s="3" t="s">
        <v>48</v>
      </c>
      <c r="F35" s="3" t="n">
        <v>32.6</v>
      </c>
      <c r="G35" s="4" t="n">
        <v>884.4</v>
      </c>
      <c r="H35" s="3" t="s">
        <v>16</v>
      </c>
      <c r="I35" s="3" t="s">
        <v>17</v>
      </c>
      <c r="J35" s="3" t="s">
        <v>25</v>
      </c>
    </row>
    <row r="36" customFormat="false" ht="15" hidden="false" customHeight="false" outlineLevel="0" collapsed="false">
      <c r="A36" s="5" t="s">
        <v>112</v>
      </c>
      <c r="B36" s="5" t="s">
        <v>113</v>
      </c>
      <c r="C36" s="5" t="s">
        <v>70</v>
      </c>
      <c r="D36" s="5" t="s">
        <v>22</v>
      </c>
      <c r="E36" s="5" t="s">
        <v>15</v>
      </c>
      <c r="F36" s="5" t="n">
        <v>20.4</v>
      </c>
      <c r="G36" s="6" t="n">
        <v>2076.16</v>
      </c>
      <c r="H36" s="5" t="s">
        <v>24</v>
      </c>
      <c r="I36" s="5" t="s">
        <v>38</v>
      </c>
      <c r="J36" s="5" t="s">
        <v>25</v>
      </c>
    </row>
    <row r="37" customFormat="false" ht="15" hidden="false" customHeight="false" outlineLevel="0" collapsed="false">
      <c r="A37" s="3" t="s">
        <v>114</v>
      </c>
      <c r="B37" s="3" t="s">
        <v>115</v>
      </c>
      <c r="C37" s="3" t="s">
        <v>35</v>
      </c>
      <c r="D37" s="3" t="s">
        <v>56</v>
      </c>
      <c r="E37" s="3" t="s">
        <v>52</v>
      </c>
      <c r="F37" s="3" t="n">
        <v>13.1</v>
      </c>
      <c r="G37" s="4" t="n">
        <v>527.6</v>
      </c>
      <c r="H37" s="3" t="s">
        <v>53</v>
      </c>
      <c r="I37" s="3" t="s">
        <v>38</v>
      </c>
      <c r="J37" s="3" t="s">
        <v>32</v>
      </c>
    </row>
    <row r="38" customFormat="false" ht="15" hidden="false" customHeight="false" outlineLevel="0" collapsed="false">
      <c r="A38" s="5" t="s">
        <v>116</v>
      </c>
      <c r="B38" s="5" t="s">
        <v>117</v>
      </c>
      <c r="C38" s="5" t="s">
        <v>67</v>
      </c>
      <c r="D38" s="5" t="s">
        <v>14</v>
      </c>
      <c r="E38" s="5" t="s">
        <v>15</v>
      </c>
      <c r="F38" s="5" t="n">
        <v>30</v>
      </c>
      <c r="G38" s="6" t="n">
        <v>2005.44</v>
      </c>
      <c r="H38" s="5" t="s">
        <v>16</v>
      </c>
      <c r="I38" s="5" t="s">
        <v>31</v>
      </c>
      <c r="J38" s="5" t="s">
        <v>18</v>
      </c>
    </row>
    <row r="39" customFormat="false" ht="15" hidden="false" customHeight="false" outlineLevel="0" collapsed="false">
      <c r="A39" s="3" t="s">
        <v>118</v>
      </c>
      <c r="B39" s="3" t="s">
        <v>119</v>
      </c>
      <c r="C39" s="3" t="s">
        <v>75</v>
      </c>
      <c r="D39" s="3" t="s">
        <v>22</v>
      </c>
      <c r="E39" s="3" t="s">
        <v>45</v>
      </c>
      <c r="F39" s="3" t="n">
        <v>44.8</v>
      </c>
      <c r="G39" s="4" t="n">
        <v>3092.56</v>
      </c>
      <c r="H39" s="3" t="s">
        <v>99</v>
      </c>
      <c r="I39" s="3" t="s">
        <v>38</v>
      </c>
      <c r="J39" s="3" t="s">
        <v>25</v>
      </c>
    </row>
    <row r="40" customFormat="false" ht="15" hidden="false" customHeight="false" outlineLevel="0" collapsed="false">
      <c r="A40" s="5" t="s">
        <v>120</v>
      </c>
      <c r="B40" s="5" t="s">
        <v>121</v>
      </c>
      <c r="C40" s="5" t="s">
        <v>13</v>
      </c>
      <c r="D40" s="5" t="s">
        <v>80</v>
      </c>
      <c r="E40" s="5" t="s">
        <v>30</v>
      </c>
      <c r="F40" s="5" t="n">
        <v>29.6</v>
      </c>
      <c r="G40" s="6" t="n">
        <v>3456.34</v>
      </c>
      <c r="H40" s="5" t="s">
        <v>53</v>
      </c>
      <c r="I40" s="5" t="s">
        <v>17</v>
      </c>
      <c r="J40" s="5" t="s">
        <v>25</v>
      </c>
    </row>
    <row r="41" customFormat="false" ht="15" hidden="false" customHeight="false" outlineLevel="0" collapsed="false">
      <c r="A41" s="3" t="s">
        <v>122</v>
      </c>
      <c r="B41" s="3" t="s">
        <v>123</v>
      </c>
      <c r="C41" s="3" t="s">
        <v>70</v>
      </c>
      <c r="D41" s="3" t="s">
        <v>22</v>
      </c>
      <c r="E41" s="3" t="s">
        <v>45</v>
      </c>
      <c r="F41" s="3" t="n">
        <v>45.1</v>
      </c>
      <c r="G41" s="4" t="n">
        <v>539.28</v>
      </c>
      <c r="H41" s="3" t="s">
        <v>16</v>
      </c>
      <c r="I41" s="3" t="s">
        <v>31</v>
      </c>
      <c r="J41" s="3" t="s">
        <v>18</v>
      </c>
    </row>
    <row r="42" customFormat="false" ht="15" hidden="false" customHeight="false" outlineLevel="0" collapsed="false">
      <c r="A42" s="5" t="s">
        <v>124</v>
      </c>
      <c r="B42" s="5" t="s">
        <v>125</v>
      </c>
      <c r="C42" s="5" t="s">
        <v>35</v>
      </c>
      <c r="D42" s="5" t="s">
        <v>36</v>
      </c>
      <c r="E42" s="5" t="s">
        <v>45</v>
      </c>
      <c r="F42" s="5" t="n">
        <v>34.6</v>
      </c>
      <c r="G42" s="6" t="n">
        <v>776.3</v>
      </c>
      <c r="H42" s="5" t="s">
        <v>53</v>
      </c>
      <c r="I42" s="5" t="s">
        <v>38</v>
      </c>
      <c r="J42" s="5" t="s">
        <v>18</v>
      </c>
    </row>
    <row r="43" customFormat="false" ht="15" hidden="false" customHeight="false" outlineLevel="0" collapsed="false">
      <c r="A43" s="3" t="s">
        <v>126</v>
      </c>
      <c r="B43" s="3" t="s">
        <v>127</v>
      </c>
      <c r="C43" s="3" t="s">
        <v>70</v>
      </c>
      <c r="D43" s="3" t="s">
        <v>36</v>
      </c>
      <c r="E43" s="3" t="s">
        <v>15</v>
      </c>
      <c r="F43" s="3" t="n">
        <v>30.6</v>
      </c>
      <c r="G43" s="4" t="n">
        <v>2916.37</v>
      </c>
      <c r="H43" s="3" t="s">
        <v>16</v>
      </c>
      <c r="I43" s="3" t="s">
        <v>31</v>
      </c>
      <c r="J43" s="3" t="s">
        <v>25</v>
      </c>
    </row>
    <row r="44" customFormat="false" ht="15" hidden="false" customHeight="false" outlineLevel="0" collapsed="false">
      <c r="A44" s="5" t="s">
        <v>128</v>
      </c>
      <c r="B44" s="5" t="s">
        <v>129</v>
      </c>
      <c r="C44" s="5" t="s">
        <v>75</v>
      </c>
      <c r="D44" s="5" t="s">
        <v>29</v>
      </c>
      <c r="E44" s="5" t="s">
        <v>45</v>
      </c>
      <c r="F44" s="5" t="n">
        <v>35.7</v>
      </c>
      <c r="G44" s="6" t="n">
        <v>1966.75</v>
      </c>
      <c r="H44" s="5" t="s">
        <v>49</v>
      </c>
      <c r="I44" s="5" t="s">
        <v>17</v>
      </c>
      <c r="J44" s="5" t="s">
        <v>25</v>
      </c>
    </row>
    <row r="45" customFormat="false" ht="15" hidden="false" customHeight="false" outlineLevel="0" collapsed="false">
      <c r="A45" s="3" t="s">
        <v>130</v>
      </c>
      <c r="B45" s="3" t="s">
        <v>131</v>
      </c>
      <c r="C45" s="3" t="s">
        <v>21</v>
      </c>
      <c r="D45" s="3" t="s">
        <v>14</v>
      </c>
      <c r="E45" s="3" t="s">
        <v>37</v>
      </c>
      <c r="F45" s="3" t="n">
        <v>40.1</v>
      </c>
      <c r="G45" s="4" t="n">
        <v>2072.18</v>
      </c>
      <c r="H45" s="3" t="s">
        <v>99</v>
      </c>
      <c r="I45" s="3" t="s">
        <v>38</v>
      </c>
      <c r="J45" s="3" t="s">
        <v>25</v>
      </c>
    </row>
    <row r="46" customFormat="false" ht="15" hidden="false" customHeight="false" outlineLevel="0" collapsed="false">
      <c r="A46" s="5" t="s">
        <v>132</v>
      </c>
      <c r="B46" s="5" t="s">
        <v>133</v>
      </c>
      <c r="C46" s="5" t="s">
        <v>21</v>
      </c>
      <c r="D46" s="5" t="s">
        <v>36</v>
      </c>
      <c r="E46" s="5" t="s">
        <v>52</v>
      </c>
      <c r="F46" s="5" t="n">
        <v>43.2</v>
      </c>
      <c r="G46" s="6" t="n">
        <v>798.46</v>
      </c>
      <c r="H46" s="5" t="s">
        <v>99</v>
      </c>
      <c r="I46" s="5" t="s">
        <v>17</v>
      </c>
      <c r="J46" s="5" t="s">
        <v>25</v>
      </c>
    </row>
    <row r="47" customFormat="false" ht="15" hidden="false" customHeight="false" outlineLevel="0" collapsed="false">
      <c r="A47" s="3" t="s">
        <v>134</v>
      </c>
      <c r="B47" s="3" t="s">
        <v>135</v>
      </c>
      <c r="C47" s="3" t="s">
        <v>75</v>
      </c>
      <c r="D47" s="3" t="s">
        <v>22</v>
      </c>
      <c r="E47" s="3" t="s">
        <v>23</v>
      </c>
      <c r="F47" s="3" t="n">
        <v>44.5</v>
      </c>
      <c r="G47" s="4" t="n">
        <v>889.64</v>
      </c>
      <c r="H47" s="3" t="s">
        <v>99</v>
      </c>
      <c r="I47" s="3" t="s">
        <v>31</v>
      </c>
      <c r="J47" s="3" t="s">
        <v>32</v>
      </c>
    </row>
    <row r="48" customFormat="false" ht="15" hidden="false" customHeight="false" outlineLevel="0" collapsed="false">
      <c r="A48" s="5" t="s">
        <v>136</v>
      </c>
      <c r="B48" s="5" t="s">
        <v>137</v>
      </c>
      <c r="C48" s="5" t="s">
        <v>28</v>
      </c>
      <c r="D48" s="5" t="s">
        <v>29</v>
      </c>
      <c r="E48" s="5" t="s">
        <v>52</v>
      </c>
      <c r="F48" s="5" t="n">
        <v>38.6</v>
      </c>
      <c r="G48" s="6" t="n">
        <v>3035.1</v>
      </c>
      <c r="H48" s="5" t="s">
        <v>99</v>
      </c>
      <c r="I48" s="5" t="s">
        <v>38</v>
      </c>
      <c r="J48" s="5" t="s">
        <v>25</v>
      </c>
    </row>
    <row r="49" customFormat="false" ht="15" hidden="false" customHeight="false" outlineLevel="0" collapsed="false">
      <c r="A49" s="3" t="s">
        <v>138</v>
      </c>
      <c r="B49" s="3" t="s">
        <v>139</v>
      </c>
      <c r="C49" s="3" t="s">
        <v>28</v>
      </c>
      <c r="D49" s="3" t="s">
        <v>56</v>
      </c>
      <c r="E49" s="3" t="s">
        <v>48</v>
      </c>
      <c r="F49" s="3" t="n">
        <v>41.9</v>
      </c>
      <c r="G49" s="4" t="n">
        <v>3016.39</v>
      </c>
      <c r="H49" s="3" t="s">
        <v>99</v>
      </c>
      <c r="I49" s="3" t="s">
        <v>31</v>
      </c>
      <c r="J49" s="3" t="s">
        <v>32</v>
      </c>
    </row>
    <row r="50" customFormat="false" ht="15" hidden="false" customHeight="false" outlineLevel="0" collapsed="false">
      <c r="A50" s="5" t="s">
        <v>140</v>
      </c>
      <c r="B50" s="5" t="s">
        <v>141</v>
      </c>
      <c r="C50" s="5" t="s">
        <v>35</v>
      </c>
      <c r="D50" s="5" t="s">
        <v>36</v>
      </c>
      <c r="E50" s="5" t="s">
        <v>64</v>
      </c>
      <c r="F50" s="5" t="n">
        <v>1.6</v>
      </c>
      <c r="G50" s="6" t="n">
        <v>740.5</v>
      </c>
      <c r="H50" s="5" t="s">
        <v>59</v>
      </c>
      <c r="I50" s="5" t="s">
        <v>38</v>
      </c>
      <c r="J50" s="5" t="s">
        <v>25</v>
      </c>
    </row>
    <row r="51" customFormat="false" ht="15" hidden="false" customHeight="false" outlineLevel="0" collapsed="false">
      <c r="A51" s="3" t="s">
        <v>142</v>
      </c>
      <c r="B51" s="3" t="s">
        <v>143</v>
      </c>
      <c r="C51" s="3" t="s">
        <v>28</v>
      </c>
      <c r="D51" s="3" t="s">
        <v>36</v>
      </c>
      <c r="E51" s="3" t="s">
        <v>52</v>
      </c>
      <c r="F51" s="3" t="n">
        <v>32.8</v>
      </c>
      <c r="G51" s="4" t="n">
        <v>2965.32</v>
      </c>
      <c r="H51" s="3" t="s">
        <v>59</v>
      </c>
      <c r="I51" s="3" t="s">
        <v>31</v>
      </c>
      <c r="J51" s="3" t="s">
        <v>25</v>
      </c>
    </row>
    <row r="52" customFormat="false" ht="15" hidden="false" customHeight="false" outlineLevel="0" collapsed="false">
      <c r="A52" s="5" t="s">
        <v>144</v>
      </c>
      <c r="B52" s="5" t="s">
        <v>145</v>
      </c>
      <c r="C52" s="5" t="s">
        <v>13</v>
      </c>
      <c r="D52" s="5" t="s">
        <v>29</v>
      </c>
      <c r="E52" s="5" t="s">
        <v>41</v>
      </c>
      <c r="F52" s="5" t="n">
        <v>2.3</v>
      </c>
      <c r="G52" s="6" t="n">
        <v>2120.27</v>
      </c>
      <c r="H52" s="5" t="s">
        <v>59</v>
      </c>
      <c r="I52" s="5" t="s">
        <v>17</v>
      </c>
      <c r="J52" s="5" t="s">
        <v>25</v>
      </c>
    </row>
    <row r="53" customFormat="false" ht="15" hidden="false" customHeight="false" outlineLevel="0" collapsed="false">
      <c r="A53" s="3" t="s">
        <v>146</v>
      </c>
      <c r="B53" s="3" t="s">
        <v>147</v>
      </c>
      <c r="C53" s="3" t="s">
        <v>70</v>
      </c>
      <c r="D53" s="3" t="s">
        <v>22</v>
      </c>
      <c r="E53" s="3" t="s">
        <v>30</v>
      </c>
      <c r="F53" s="3" t="n">
        <v>18.8</v>
      </c>
      <c r="G53" s="4" t="n">
        <v>2051.93</v>
      </c>
      <c r="H53" s="3" t="s">
        <v>59</v>
      </c>
      <c r="I53" s="3" t="s">
        <v>31</v>
      </c>
      <c r="J53" s="3" t="s">
        <v>32</v>
      </c>
    </row>
    <row r="54" customFormat="false" ht="15" hidden="false" customHeight="false" outlineLevel="0" collapsed="false">
      <c r="A54" s="5" t="s">
        <v>148</v>
      </c>
      <c r="B54" s="5" t="s">
        <v>149</v>
      </c>
      <c r="C54" s="5" t="s">
        <v>35</v>
      </c>
      <c r="D54" s="5" t="s">
        <v>22</v>
      </c>
      <c r="E54" s="5" t="s">
        <v>30</v>
      </c>
      <c r="F54" s="5" t="n">
        <v>17.8</v>
      </c>
      <c r="G54" s="6" t="n">
        <v>319.31</v>
      </c>
      <c r="H54" s="5" t="s">
        <v>53</v>
      </c>
      <c r="I54" s="5" t="s">
        <v>38</v>
      </c>
      <c r="J54" s="5" t="s">
        <v>18</v>
      </c>
    </row>
    <row r="55" customFormat="false" ht="15" hidden="false" customHeight="false" outlineLevel="0" collapsed="false">
      <c r="A55" s="3" t="s">
        <v>150</v>
      </c>
      <c r="B55" s="3" t="s">
        <v>151</v>
      </c>
      <c r="C55" s="3" t="s">
        <v>13</v>
      </c>
      <c r="D55" s="3" t="s">
        <v>56</v>
      </c>
      <c r="E55" s="3" t="s">
        <v>48</v>
      </c>
      <c r="F55" s="3" t="n">
        <v>24.6</v>
      </c>
      <c r="G55" s="4" t="n">
        <v>2360.77</v>
      </c>
      <c r="H55" s="3" t="s">
        <v>59</v>
      </c>
      <c r="I55" s="3" t="s">
        <v>38</v>
      </c>
      <c r="J55" s="3" t="s">
        <v>25</v>
      </c>
    </row>
    <row r="56" customFormat="false" ht="15" hidden="false" customHeight="false" outlineLevel="0" collapsed="false">
      <c r="A56" s="5" t="s">
        <v>152</v>
      </c>
      <c r="B56" s="5" t="s">
        <v>153</v>
      </c>
      <c r="C56" s="5" t="s">
        <v>28</v>
      </c>
      <c r="D56" s="5" t="s">
        <v>29</v>
      </c>
      <c r="E56" s="5" t="s">
        <v>64</v>
      </c>
      <c r="F56" s="5" t="n">
        <v>32.1</v>
      </c>
      <c r="G56" s="6" t="n">
        <v>1376.68</v>
      </c>
      <c r="H56" s="5" t="s">
        <v>53</v>
      </c>
      <c r="I56" s="5" t="s">
        <v>31</v>
      </c>
      <c r="J56" s="5" t="s">
        <v>18</v>
      </c>
    </row>
    <row r="57" customFormat="false" ht="15" hidden="false" customHeight="false" outlineLevel="0" collapsed="false">
      <c r="A57" s="3" t="s">
        <v>154</v>
      </c>
      <c r="B57" s="3" t="s">
        <v>155</v>
      </c>
      <c r="C57" s="3" t="s">
        <v>21</v>
      </c>
      <c r="D57" s="3" t="s">
        <v>36</v>
      </c>
      <c r="E57" s="3" t="s">
        <v>23</v>
      </c>
      <c r="F57" s="3" t="n">
        <v>14.9</v>
      </c>
      <c r="G57" s="4" t="n">
        <v>798.82</v>
      </c>
      <c r="H57" s="3" t="s">
        <v>24</v>
      </c>
      <c r="I57" s="3" t="s">
        <v>17</v>
      </c>
      <c r="J57" s="3" t="s">
        <v>25</v>
      </c>
    </row>
    <row r="58" customFormat="false" ht="15" hidden="false" customHeight="false" outlineLevel="0" collapsed="false">
      <c r="A58" s="5" t="s">
        <v>156</v>
      </c>
      <c r="B58" s="5" t="s">
        <v>157</v>
      </c>
      <c r="C58" s="5" t="s">
        <v>35</v>
      </c>
      <c r="D58" s="5" t="s">
        <v>80</v>
      </c>
      <c r="E58" s="5" t="s">
        <v>92</v>
      </c>
      <c r="F58" s="5" t="n">
        <v>24.8</v>
      </c>
      <c r="G58" s="6" t="n">
        <v>2794.58</v>
      </c>
      <c r="H58" s="5" t="s">
        <v>53</v>
      </c>
      <c r="I58" s="5" t="s">
        <v>31</v>
      </c>
      <c r="J58" s="5" t="s">
        <v>25</v>
      </c>
    </row>
    <row r="59" customFormat="false" ht="15" hidden="false" customHeight="false" outlineLevel="0" collapsed="false">
      <c r="A59" s="3" t="s">
        <v>158</v>
      </c>
      <c r="B59" s="3" t="s">
        <v>159</v>
      </c>
      <c r="C59" s="3" t="s">
        <v>44</v>
      </c>
      <c r="D59" s="3" t="s">
        <v>22</v>
      </c>
      <c r="E59" s="3" t="s">
        <v>41</v>
      </c>
      <c r="F59" s="3" t="n">
        <v>4.9</v>
      </c>
      <c r="G59" s="4" t="n">
        <v>3335.84</v>
      </c>
      <c r="H59" s="3" t="s">
        <v>99</v>
      </c>
      <c r="I59" s="3" t="s">
        <v>17</v>
      </c>
      <c r="J59" s="3" t="s">
        <v>25</v>
      </c>
    </row>
    <row r="60" customFormat="false" ht="15" hidden="false" customHeight="false" outlineLevel="0" collapsed="false">
      <c r="A60" s="5" t="s">
        <v>160</v>
      </c>
      <c r="B60" s="5" t="s">
        <v>58</v>
      </c>
      <c r="C60" s="5" t="s">
        <v>21</v>
      </c>
      <c r="D60" s="5" t="s">
        <v>29</v>
      </c>
      <c r="E60" s="5" t="s">
        <v>37</v>
      </c>
      <c r="F60" s="5" t="n">
        <v>2.7</v>
      </c>
      <c r="G60" s="6" t="n">
        <v>3445.06</v>
      </c>
      <c r="H60" s="5" t="s">
        <v>24</v>
      </c>
      <c r="I60" s="5" t="s">
        <v>31</v>
      </c>
      <c r="J60" s="5" t="s">
        <v>32</v>
      </c>
    </row>
    <row r="61" customFormat="false" ht="15" hidden="false" customHeight="false" outlineLevel="0" collapsed="false">
      <c r="A61" s="3" t="s">
        <v>161</v>
      </c>
      <c r="B61" s="3" t="s">
        <v>162</v>
      </c>
      <c r="C61" s="3" t="s">
        <v>35</v>
      </c>
      <c r="D61" s="3" t="s">
        <v>56</v>
      </c>
      <c r="E61" s="3" t="s">
        <v>41</v>
      </c>
      <c r="F61" s="3" t="n">
        <v>34.6</v>
      </c>
      <c r="G61" s="4" t="n">
        <v>1393.21</v>
      </c>
      <c r="H61" s="3" t="s">
        <v>49</v>
      </c>
      <c r="I61" s="3" t="s">
        <v>31</v>
      </c>
      <c r="J61" s="3" t="s">
        <v>25</v>
      </c>
    </row>
    <row r="62" customFormat="false" ht="15" hidden="false" customHeight="false" outlineLevel="0" collapsed="false">
      <c r="A62" s="5" t="s">
        <v>163</v>
      </c>
      <c r="B62" s="5" t="s">
        <v>164</v>
      </c>
      <c r="C62" s="5" t="s">
        <v>70</v>
      </c>
      <c r="D62" s="5" t="s">
        <v>56</v>
      </c>
      <c r="E62" s="5" t="s">
        <v>15</v>
      </c>
      <c r="F62" s="5" t="n">
        <v>37.5</v>
      </c>
      <c r="G62" s="6" t="n">
        <v>828.44</v>
      </c>
      <c r="H62" s="5" t="s">
        <v>53</v>
      </c>
      <c r="I62" s="5" t="s">
        <v>17</v>
      </c>
      <c r="J62" s="5" t="s">
        <v>32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7" min="6" style="0" width="16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166</v>
      </c>
      <c r="H2" s="2" t="s">
        <v>9</v>
      </c>
      <c r="I2" s="2" t="s">
        <v>10</v>
      </c>
      <c r="J2" s="2" t="s">
        <v>167</v>
      </c>
      <c r="K2" s="2" t="s">
        <v>168</v>
      </c>
      <c r="L2" s="2" t="s">
        <v>169</v>
      </c>
    </row>
    <row r="3" customFormat="false" ht="15" hidden="false" customHeight="false" outlineLevel="0" collapsed="false">
      <c r="A3" s="7" t="str">
        <f aca="false">Datos_Crudos!A3</f>
        <v>F-0001</v>
      </c>
      <c r="B3" s="7" t="str">
        <f aca="false">Datos_Crudos!B3</f>
        <v>2024-01-21</v>
      </c>
      <c r="C3" s="7" t="str">
        <f aca="false">Datos_Crudos!C3</f>
        <v>ROB-005</v>
      </c>
      <c r="D3" s="7" t="str">
        <f aca="false">Datos_Crudos!D3</f>
        <v>Eléctrica</v>
      </c>
      <c r="E3" s="7" t="str">
        <f aca="false">Datos_Crudos!E3</f>
        <v>Motor principal</v>
      </c>
      <c r="F3" s="7" t="n">
        <f aca="false">Datos_Crudos!F3</f>
        <v>12.1</v>
      </c>
      <c r="G3" s="8" t="n">
        <f aca="false">Datos_Crudos!G3</f>
        <v>557.22</v>
      </c>
      <c r="H3" s="7" t="str">
        <f aca="false">Datos_Crudos!H3</f>
        <v>Carlos M.</v>
      </c>
      <c r="I3" s="7" t="str">
        <f aca="false">Datos_Crudos!I3</f>
        <v>Noche</v>
      </c>
      <c r="J3" s="7" t="str">
        <f aca="false">TEXT(DATEVALUE(Datos_Crudos!B3),"MMM-YYYY")</f>
        <v>Jan-2024</v>
      </c>
      <c r="K3" s="7" t="str">
        <f aca="false">IF(MONTH(DATEVALUE(Datos_Crudos!B3))&lt;=6,"S1-2024","S2-2024")</f>
        <v>S1-2024</v>
      </c>
      <c r="L3" s="7" t="str">
        <f aca="false">IF(AND(Datos_Crudos!F3&gt;20,Datos_Crudos!G3&gt;2000),"CRÍTICA",IF(AND(Datos_Crudos!F3&gt;10,Datos_Crudos!G3&gt;1000),"ALTA",IF(Datos_Crudos!F3&gt;5,"MEDIA","BAJA")))</f>
        <v>MEDIA</v>
      </c>
    </row>
    <row r="4" customFormat="false" ht="15" hidden="false" customHeight="false" outlineLevel="0" collapsed="false">
      <c r="A4" s="7" t="str">
        <f aca="false">Datos_Crudos!A4</f>
        <v>F-0002</v>
      </c>
      <c r="B4" s="7" t="str">
        <f aca="false">Datos_Crudos!B4</f>
        <v>2024-01-03</v>
      </c>
      <c r="C4" s="7" t="str">
        <f aca="false">Datos_Crudos!C4</f>
        <v>ROB-001</v>
      </c>
      <c r="D4" s="7" t="str">
        <f aca="false">Datos_Crudos!D4</f>
        <v>Sensor</v>
      </c>
      <c r="E4" s="7" t="str">
        <f aca="false">Datos_Crudos!E4</f>
        <v>Cilindro hidráulico</v>
      </c>
      <c r="F4" s="7" t="n">
        <f aca="false">Datos_Crudos!F4</f>
        <v>1.9</v>
      </c>
      <c r="G4" s="8" t="n">
        <f aca="false">Datos_Crudos!G4</f>
        <v>827.74</v>
      </c>
      <c r="H4" s="7" t="str">
        <f aca="false">Datos_Crudos!H4</f>
        <v>Diana F.</v>
      </c>
      <c r="I4" s="7" t="str">
        <f aca="false">Datos_Crudos!I4</f>
        <v>Noche</v>
      </c>
      <c r="J4" s="7" t="str">
        <f aca="false">TEXT(DATEVALUE(Datos_Crudos!B4),"MMM-YYYY")</f>
        <v>Jan-2024</v>
      </c>
      <c r="K4" s="7" t="str">
        <f aca="false">IF(MONTH(DATEVALUE(Datos_Crudos!B4))&lt;=6,"S1-2024","S2-2024")</f>
        <v>S1-2024</v>
      </c>
      <c r="L4" s="7" t="str">
        <f aca="false">IF(AND(Datos_Crudos!F4&gt;20,Datos_Crudos!G4&gt;2000),"CRÍTICA",IF(AND(Datos_Crudos!F4&gt;10,Datos_Crudos!G4&gt;1000),"ALTA",IF(Datos_Crudos!F4&gt;5,"MEDIA","BAJA")))</f>
        <v>BAJA</v>
      </c>
    </row>
    <row r="5" customFormat="false" ht="15" hidden="false" customHeight="false" outlineLevel="0" collapsed="false">
      <c r="A5" s="7" t="str">
        <f aca="false">Datos_Crudos!A5</f>
        <v>F-0003</v>
      </c>
      <c r="B5" s="7" t="str">
        <f aca="false">Datos_Crudos!B5</f>
        <v>2024-02-18</v>
      </c>
      <c r="C5" s="7" t="str">
        <f aca="false">Datos_Crudos!C5</f>
        <v>ROB-007</v>
      </c>
      <c r="D5" s="7" t="str">
        <f aca="false">Datos_Crudos!D5</f>
        <v>Mecánica</v>
      </c>
      <c r="E5" s="7" t="str">
        <f aca="false">Datos_Crudos!E5</f>
        <v>Panel HMI</v>
      </c>
      <c r="F5" s="7" t="n">
        <f aca="false">Datos_Crudos!F5</f>
        <v>11</v>
      </c>
      <c r="G5" s="8" t="n">
        <f aca="false">Datos_Crudos!G5</f>
        <v>2095.29</v>
      </c>
      <c r="H5" s="7" t="str">
        <f aca="false">Datos_Crudos!H5</f>
        <v>Carlos M.</v>
      </c>
      <c r="I5" s="7" t="str">
        <f aca="false">Datos_Crudos!I5</f>
        <v>Mañana</v>
      </c>
      <c r="J5" s="7" t="str">
        <f aca="false">TEXT(DATEVALUE(Datos_Crudos!B5),"MMM-YYYY")</f>
        <v>Feb-2024</v>
      </c>
      <c r="K5" s="7" t="str">
        <f aca="false">IF(MONTH(DATEVALUE(Datos_Crudos!B5))&lt;=6,"S1-2024","S2-2024")</f>
        <v>S1-2024</v>
      </c>
      <c r="L5" s="7" t="str">
        <f aca="false">IF(AND(Datos_Crudos!F5&gt;20,Datos_Crudos!G5&gt;2000),"CRÍTICA",IF(AND(Datos_Crudos!F5&gt;10,Datos_Crudos!G5&gt;1000),"ALTA",IF(Datos_Crudos!F5&gt;5,"MEDIA","BAJA")))</f>
        <v>ALTA</v>
      </c>
    </row>
    <row r="6" customFormat="false" ht="15" hidden="false" customHeight="false" outlineLevel="0" collapsed="false">
      <c r="A6" s="7" t="str">
        <f aca="false">Datos_Crudos!A6</f>
        <v>F-0004</v>
      </c>
      <c r="B6" s="7" t="str">
        <f aca="false">Datos_Crudos!B6</f>
        <v>2024-02-11</v>
      </c>
      <c r="C6" s="7" t="str">
        <f aca="false">Datos_Crudos!C6</f>
        <v>ROB-004</v>
      </c>
      <c r="D6" s="7" t="str">
        <f aca="false">Datos_Crudos!D6</f>
        <v>Neumática</v>
      </c>
      <c r="E6" s="7" t="str">
        <f aca="false">Datos_Crudos!E6</f>
        <v>PLC</v>
      </c>
      <c r="F6" s="7" t="n">
        <f aca="false">Datos_Crudos!F6</f>
        <v>46</v>
      </c>
      <c r="G6" s="8" t="n">
        <f aca="false">Datos_Crudos!G6</f>
        <v>1231.15</v>
      </c>
      <c r="H6" s="7" t="str">
        <f aca="false">Datos_Crudos!H6</f>
        <v>Carlos M.</v>
      </c>
      <c r="I6" s="7" t="str">
        <f aca="false">Datos_Crudos!I6</f>
        <v>Tarde</v>
      </c>
      <c r="J6" s="7" t="str">
        <f aca="false">TEXT(DATEVALUE(Datos_Crudos!B6),"MMM-YYYY")</f>
        <v>Feb-2024</v>
      </c>
      <c r="K6" s="7" t="str">
        <f aca="false">IF(MONTH(DATEVALUE(Datos_Crudos!B6))&lt;=6,"S1-2024","S2-2024")</f>
        <v>S1-2024</v>
      </c>
      <c r="L6" s="7" t="str">
        <f aca="false">IF(AND(Datos_Crudos!F6&gt;20,Datos_Crudos!G6&gt;2000),"CRÍTICA",IF(AND(Datos_Crudos!F6&gt;10,Datos_Crudos!G6&gt;1000),"ALTA",IF(Datos_Crudos!F6&gt;5,"MEDIA","BAJA")))</f>
        <v>ALTA</v>
      </c>
    </row>
    <row r="7" customFormat="false" ht="15" hidden="false" customHeight="false" outlineLevel="0" collapsed="false">
      <c r="A7" s="7" t="str">
        <f aca="false">Datos_Crudos!A7</f>
        <v>F-0005</v>
      </c>
      <c r="B7" s="7" t="str">
        <f aca="false">Datos_Crudos!B7</f>
        <v>2024-03-12</v>
      </c>
      <c r="C7" s="7" t="str">
        <f aca="false">Datos_Crudos!C7</f>
        <v>ROB-005</v>
      </c>
      <c r="D7" s="7" t="str">
        <f aca="false">Datos_Crudos!D7</f>
        <v>Neumática</v>
      </c>
      <c r="E7" s="7" t="str">
        <f aca="false">Datos_Crudos!E7</f>
        <v>Reductor planetario</v>
      </c>
      <c r="F7" s="7" t="n">
        <f aca="false">Datos_Crudos!F7</f>
        <v>38.8</v>
      </c>
      <c r="G7" s="8" t="n">
        <f aca="false">Datos_Crudos!G7</f>
        <v>2575.68</v>
      </c>
      <c r="H7" s="7" t="str">
        <f aca="false">Datos_Crudos!H7</f>
        <v>Diana F.</v>
      </c>
      <c r="I7" s="7" t="str">
        <f aca="false">Datos_Crudos!I7</f>
        <v>Mañana</v>
      </c>
      <c r="J7" s="7" t="str">
        <f aca="false">TEXT(DATEVALUE(Datos_Crudos!B7),"MMM-YYYY")</f>
        <v>Mar-2024</v>
      </c>
      <c r="K7" s="7" t="str">
        <f aca="false">IF(MONTH(DATEVALUE(Datos_Crudos!B7))&lt;=6,"S1-2024","S2-2024")</f>
        <v>S1-2024</v>
      </c>
      <c r="L7" s="7" t="str">
        <f aca="false">IF(AND(Datos_Crudos!F7&gt;20,Datos_Crudos!G7&gt;2000),"CRÍTICA",IF(AND(Datos_Crudos!F7&gt;10,Datos_Crudos!G7&gt;1000),"ALTA",IF(Datos_Crudos!F7&gt;5,"MEDIA","BAJA")))</f>
        <v>CRÍTICA</v>
      </c>
    </row>
    <row r="8" customFormat="false" ht="15" hidden="false" customHeight="false" outlineLevel="0" collapsed="false">
      <c r="A8" s="7" t="str">
        <f aca="false">Datos_Crudos!A8</f>
        <v>F-0006</v>
      </c>
      <c r="B8" s="7" t="str">
        <f aca="false">Datos_Crudos!B8</f>
        <v>2024-03-03</v>
      </c>
      <c r="C8" s="7" t="str">
        <f aca="false">Datos_Crudos!C8</f>
        <v>ROB-006</v>
      </c>
      <c r="D8" s="7" t="str">
        <f aca="false">Datos_Crudos!D8</f>
        <v>Sensor</v>
      </c>
      <c r="E8" s="7" t="str">
        <f aca="false">Datos_Crudos!E8</f>
        <v>Válvula solenoide</v>
      </c>
      <c r="F8" s="7" t="n">
        <f aca="false">Datos_Crudos!F8</f>
        <v>27.9</v>
      </c>
      <c r="G8" s="8" t="n">
        <f aca="false">Datos_Crudos!G8</f>
        <v>2489.64</v>
      </c>
      <c r="H8" s="7" t="str">
        <f aca="false">Datos_Crudos!H8</f>
        <v>Carlos M.</v>
      </c>
      <c r="I8" s="7" t="str">
        <f aca="false">Datos_Crudos!I8</f>
        <v>Noche</v>
      </c>
      <c r="J8" s="7" t="str">
        <f aca="false">TEXT(DATEVALUE(Datos_Crudos!B8),"MMM-YYYY")</f>
        <v>Mar-2024</v>
      </c>
      <c r="K8" s="7" t="str">
        <f aca="false">IF(MONTH(DATEVALUE(Datos_Crudos!B8))&lt;=6,"S1-2024","S2-2024")</f>
        <v>S1-2024</v>
      </c>
      <c r="L8" s="7" t="str">
        <f aca="false">IF(AND(Datos_Crudos!F8&gt;20,Datos_Crudos!G8&gt;2000),"CRÍTICA",IF(AND(Datos_Crudos!F8&gt;10,Datos_Crudos!G8&gt;1000),"ALTA",IF(Datos_Crudos!F8&gt;5,"MEDIA","BAJA")))</f>
        <v>CRÍTICA</v>
      </c>
    </row>
    <row r="9" customFormat="false" ht="15" hidden="false" customHeight="false" outlineLevel="0" collapsed="false">
      <c r="A9" s="7" t="str">
        <f aca="false">Datos_Crudos!A9</f>
        <v>F-0007</v>
      </c>
      <c r="B9" s="7" t="str">
        <f aca="false">Datos_Crudos!B9</f>
        <v>2024-04-25</v>
      </c>
      <c r="C9" s="7" t="str">
        <f aca="false">Datos_Crudos!C9</f>
        <v>ROB-004</v>
      </c>
      <c r="D9" s="7" t="str">
        <f aca="false">Datos_Crudos!D9</f>
        <v>Neumática</v>
      </c>
      <c r="E9" s="7" t="str">
        <f aca="false">Datos_Crudos!E9</f>
        <v>Actuador lineal</v>
      </c>
      <c r="F9" s="7" t="n">
        <f aca="false">Datos_Crudos!F9</f>
        <v>41.7</v>
      </c>
      <c r="G9" s="8" t="n">
        <f aca="false">Datos_Crudos!G9</f>
        <v>1380.03</v>
      </c>
      <c r="H9" s="7" t="str">
        <f aca="false">Datos_Crudos!H9</f>
        <v>Pedro G.</v>
      </c>
      <c r="I9" s="7" t="str">
        <f aca="false">Datos_Crudos!I9</f>
        <v>Noche</v>
      </c>
      <c r="J9" s="7" t="str">
        <f aca="false">TEXT(DATEVALUE(Datos_Crudos!B9),"MMM-YYYY")</f>
        <v>Apr-2024</v>
      </c>
      <c r="K9" s="7" t="str">
        <f aca="false">IF(MONTH(DATEVALUE(Datos_Crudos!B9))&lt;=6,"S1-2024","S2-2024")</f>
        <v>S1-2024</v>
      </c>
      <c r="L9" s="7" t="str">
        <f aca="false">IF(AND(Datos_Crudos!F9&gt;20,Datos_Crudos!G9&gt;2000),"CRÍTICA",IF(AND(Datos_Crudos!F9&gt;10,Datos_Crudos!G9&gt;1000),"ALTA",IF(Datos_Crudos!F9&gt;5,"MEDIA","BAJA")))</f>
        <v>ALTA</v>
      </c>
    </row>
    <row r="10" customFormat="false" ht="15" hidden="false" customHeight="false" outlineLevel="0" collapsed="false">
      <c r="A10" s="7" t="str">
        <f aca="false">Datos_Crudos!A10</f>
        <v>F-0008</v>
      </c>
      <c r="B10" s="7" t="str">
        <f aca="false">Datos_Crudos!B10</f>
        <v>2024-04-06</v>
      </c>
      <c r="C10" s="7" t="str">
        <f aca="false">Datos_Crudos!C10</f>
        <v>ROB-004</v>
      </c>
      <c r="D10" s="7" t="str">
        <f aca="false">Datos_Crudos!D10</f>
        <v>Neumática</v>
      </c>
      <c r="E10" s="7" t="str">
        <f aca="false">Datos_Crudos!E10</f>
        <v>Encoder rotativo</v>
      </c>
      <c r="F10" s="7" t="n">
        <f aca="false">Datos_Crudos!F10</f>
        <v>32.3</v>
      </c>
      <c r="G10" s="8" t="n">
        <f aca="false">Datos_Crudos!G10</f>
        <v>2480.23</v>
      </c>
      <c r="H10" s="7" t="str">
        <f aca="false">Datos_Crudos!H10</f>
        <v>Miguel A.</v>
      </c>
      <c r="I10" s="7" t="str">
        <f aca="false">Datos_Crudos!I10</f>
        <v>Noche</v>
      </c>
      <c r="J10" s="7" t="str">
        <f aca="false">TEXT(DATEVALUE(Datos_Crudos!B10),"MMM-YYYY")</f>
        <v>Apr-2024</v>
      </c>
      <c r="K10" s="7" t="str">
        <f aca="false">IF(MONTH(DATEVALUE(Datos_Crudos!B10))&lt;=6,"S1-2024","S2-2024")</f>
        <v>S1-2024</v>
      </c>
      <c r="L10" s="7" t="str">
        <f aca="false">IF(AND(Datos_Crudos!F10&gt;20,Datos_Crudos!G10&gt;2000),"CRÍTICA",IF(AND(Datos_Crudos!F10&gt;10,Datos_Crudos!G10&gt;1000),"ALTA",IF(Datos_Crudos!F10&gt;5,"MEDIA","BAJA")))</f>
        <v>CRÍTICA</v>
      </c>
    </row>
    <row r="11" customFormat="false" ht="15" hidden="false" customHeight="false" outlineLevel="0" collapsed="false">
      <c r="A11" s="7" t="str">
        <f aca="false">Datos_Crudos!A11</f>
        <v>F-0009</v>
      </c>
      <c r="B11" s="7" t="str">
        <f aca="false">Datos_Crudos!B11</f>
        <v>2024-05-20</v>
      </c>
      <c r="C11" s="7" t="str">
        <f aca="false">Datos_Crudos!C11</f>
        <v>ROB-004</v>
      </c>
      <c r="D11" s="7" t="str">
        <f aca="false">Datos_Crudos!D11</f>
        <v>Hidráulica</v>
      </c>
      <c r="E11" s="7" t="str">
        <f aca="false">Datos_Crudos!E11</f>
        <v>PLC</v>
      </c>
      <c r="F11" s="7" t="n">
        <f aca="false">Datos_Crudos!F11</f>
        <v>8.3</v>
      </c>
      <c r="G11" s="8" t="n">
        <f aca="false">Datos_Crudos!G11</f>
        <v>1377.74</v>
      </c>
      <c r="H11" s="7" t="str">
        <f aca="false">Datos_Crudos!H11</f>
        <v>Miguel A.</v>
      </c>
      <c r="I11" s="7" t="str">
        <f aca="false">Datos_Crudos!I11</f>
        <v>Noche</v>
      </c>
      <c r="J11" s="7" t="str">
        <f aca="false">TEXT(DATEVALUE(Datos_Crudos!B11),"MMM-YYYY")</f>
        <v>May-2024</v>
      </c>
      <c r="K11" s="7" t="str">
        <f aca="false">IF(MONTH(DATEVALUE(Datos_Crudos!B11))&lt;=6,"S1-2024","S2-2024")</f>
        <v>S1-2024</v>
      </c>
      <c r="L11" s="7" t="str">
        <f aca="false">IF(AND(Datos_Crudos!F11&gt;20,Datos_Crudos!G11&gt;2000),"CRÍTICA",IF(AND(Datos_Crudos!F11&gt;10,Datos_Crudos!G11&gt;1000),"ALTA",IF(Datos_Crudos!F11&gt;5,"MEDIA","BAJA")))</f>
        <v>MEDIA</v>
      </c>
    </row>
    <row r="12" customFormat="false" ht="15" hidden="false" customHeight="false" outlineLevel="0" collapsed="false">
      <c r="A12" s="7" t="str">
        <f aca="false">Datos_Crudos!A12</f>
        <v>F-0010</v>
      </c>
      <c r="B12" s="7" t="str">
        <f aca="false">Datos_Crudos!B12</f>
        <v>2024-05-08</v>
      </c>
      <c r="C12" s="7" t="str">
        <f aca="false">Datos_Crudos!C12</f>
        <v>ROB-001</v>
      </c>
      <c r="D12" s="7" t="str">
        <f aca="false">Datos_Crudos!D12</f>
        <v>Hidráulica</v>
      </c>
      <c r="E12" s="7" t="str">
        <f aca="false">Datos_Crudos!E12</f>
        <v>Encoder rotativo</v>
      </c>
      <c r="F12" s="7" t="n">
        <f aca="false">Datos_Crudos!F12</f>
        <v>11.4</v>
      </c>
      <c r="G12" s="8" t="n">
        <f aca="false">Datos_Crudos!G12</f>
        <v>189.78</v>
      </c>
      <c r="H12" s="7" t="str">
        <f aca="false">Datos_Crudos!H12</f>
        <v>Luisa R.</v>
      </c>
      <c r="I12" s="7" t="str">
        <f aca="false">Datos_Crudos!I12</f>
        <v>Tarde</v>
      </c>
      <c r="J12" s="7" t="str">
        <f aca="false">TEXT(DATEVALUE(Datos_Crudos!B12),"MMM-YYYY")</f>
        <v>May-2024</v>
      </c>
      <c r="K12" s="7" t="str">
        <f aca="false">IF(MONTH(DATEVALUE(Datos_Crudos!B12))&lt;=6,"S1-2024","S2-2024")</f>
        <v>S1-2024</v>
      </c>
      <c r="L12" s="7" t="str">
        <f aca="false">IF(AND(Datos_Crudos!F12&gt;20,Datos_Crudos!G12&gt;2000),"CRÍTICA",IF(AND(Datos_Crudos!F12&gt;10,Datos_Crudos!G12&gt;1000),"ALTA",IF(Datos_Crudos!F12&gt;5,"MEDIA","BAJA")))</f>
        <v>MEDIA</v>
      </c>
    </row>
    <row r="13" customFormat="false" ht="15" hidden="false" customHeight="false" outlineLevel="0" collapsed="false">
      <c r="A13" s="7" t="str">
        <f aca="false">Datos_Crudos!A13</f>
        <v>F-0011</v>
      </c>
      <c r="B13" s="7" t="str">
        <f aca="false">Datos_Crudos!B13</f>
        <v>2024-06-03</v>
      </c>
      <c r="C13" s="7" t="str">
        <f aca="false">Datos_Crudos!C13</f>
        <v>ROB-006</v>
      </c>
      <c r="D13" s="7" t="str">
        <f aca="false">Datos_Crudos!D13</f>
        <v>Mecánica</v>
      </c>
      <c r="E13" s="7" t="str">
        <f aca="false">Datos_Crudos!E13</f>
        <v>Reductor planetario</v>
      </c>
      <c r="F13" s="7" t="n">
        <f aca="false">Datos_Crudos!F13</f>
        <v>10.6</v>
      </c>
      <c r="G13" s="8" t="n">
        <f aca="false">Datos_Crudos!G13</f>
        <v>1787.37</v>
      </c>
      <c r="H13" s="7" t="str">
        <f aca="false">Datos_Crudos!H13</f>
        <v>Miguel A.</v>
      </c>
      <c r="I13" s="7" t="str">
        <f aca="false">Datos_Crudos!I13</f>
        <v>Tarde</v>
      </c>
      <c r="J13" s="7" t="str">
        <f aca="false">TEXT(DATEVALUE(Datos_Crudos!B13),"MMM-YYYY")</f>
        <v>Jun-2024</v>
      </c>
      <c r="K13" s="7" t="str">
        <f aca="false">IF(MONTH(DATEVALUE(Datos_Crudos!B13))&lt;=6,"S1-2024","S2-2024")</f>
        <v>S1-2024</v>
      </c>
      <c r="L13" s="7" t="str">
        <f aca="false">IF(AND(Datos_Crudos!F13&gt;20,Datos_Crudos!G13&gt;2000),"CRÍTICA",IF(AND(Datos_Crudos!F13&gt;10,Datos_Crudos!G13&gt;1000),"ALTA",IF(Datos_Crudos!F13&gt;5,"MEDIA","BAJA")))</f>
        <v>ALTA</v>
      </c>
    </row>
    <row r="14" customFormat="false" ht="15" hidden="false" customHeight="false" outlineLevel="0" collapsed="false">
      <c r="A14" s="7" t="str">
        <f aca="false">Datos_Crudos!A14</f>
        <v>F-0012</v>
      </c>
      <c r="B14" s="7" t="str">
        <f aca="false">Datos_Crudos!B14</f>
        <v>2024-06-09</v>
      </c>
      <c r="C14" s="7" t="str">
        <f aca="false">Datos_Crudos!C14</f>
        <v>ROB-005</v>
      </c>
      <c r="D14" s="7" t="str">
        <f aca="false">Datos_Crudos!D14</f>
        <v>Mecánica</v>
      </c>
      <c r="E14" s="7" t="str">
        <f aca="false">Datos_Crudos!E14</f>
        <v>Sensor posición</v>
      </c>
      <c r="F14" s="7" t="n">
        <f aca="false">Datos_Crudos!F14</f>
        <v>36</v>
      </c>
      <c r="G14" s="8" t="n">
        <f aca="false">Datos_Crudos!G14</f>
        <v>1545.24</v>
      </c>
      <c r="H14" s="7" t="str">
        <f aca="false">Datos_Crudos!H14</f>
        <v>Diana F.</v>
      </c>
      <c r="I14" s="7" t="str">
        <f aca="false">Datos_Crudos!I14</f>
        <v>Tarde</v>
      </c>
      <c r="J14" s="7" t="str">
        <f aca="false">TEXT(DATEVALUE(Datos_Crudos!B14),"MMM-YYYY")</f>
        <v>Jun-2024</v>
      </c>
      <c r="K14" s="7" t="str">
        <f aca="false">IF(MONTH(DATEVALUE(Datos_Crudos!B14))&lt;=6,"S1-2024","S2-2024")</f>
        <v>S1-2024</v>
      </c>
      <c r="L14" s="7" t="str">
        <f aca="false">IF(AND(Datos_Crudos!F14&gt;20,Datos_Crudos!G14&gt;2000),"CRÍTICA",IF(AND(Datos_Crudos!F14&gt;10,Datos_Crudos!G14&gt;1000),"ALTA",IF(Datos_Crudos!F14&gt;5,"MEDIA","BAJA")))</f>
        <v>ALTA</v>
      </c>
    </row>
    <row r="15" customFormat="false" ht="15" hidden="false" customHeight="false" outlineLevel="0" collapsed="false">
      <c r="A15" s="7" t="str">
        <f aca="false">Datos_Crudos!A15</f>
        <v>F-0013</v>
      </c>
      <c r="B15" s="7" t="str">
        <f aca="false">Datos_Crudos!B15</f>
        <v>2024-07-08</v>
      </c>
      <c r="C15" s="7" t="str">
        <f aca="false">Datos_Crudos!C15</f>
        <v>ROB-008</v>
      </c>
      <c r="D15" s="7" t="str">
        <f aca="false">Datos_Crudos!D15</f>
        <v>Mecánica</v>
      </c>
      <c r="E15" s="7" t="str">
        <f aca="false">Datos_Crudos!E15</f>
        <v>Panel HMI</v>
      </c>
      <c r="F15" s="7" t="n">
        <f aca="false">Datos_Crudos!F15</f>
        <v>4.8</v>
      </c>
      <c r="G15" s="8" t="n">
        <f aca="false">Datos_Crudos!G15</f>
        <v>241.14</v>
      </c>
      <c r="H15" s="7" t="str">
        <f aca="false">Datos_Crudos!H15</f>
        <v>Carlos M.</v>
      </c>
      <c r="I15" s="7" t="str">
        <f aca="false">Datos_Crudos!I15</f>
        <v>Mañana</v>
      </c>
      <c r="J15" s="7" t="str">
        <f aca="false">TEXT(DATEVALUE(Datos_Crudos!B15),"MMM-YYYY")</f>
        <v>Jul-2024</v>
      </c>
      <c r="K15" s="7" t="str">
        <f aca="false">IF(MONTH(DATEVALUE(Datos_Crudos!B15))&lt;=6,"S1-2024","S2-2024")</f>
        <v>S2-2024</v>
      </c>
      <c r="L15" s="7" t="str">
        <f aca="false">IF(AND(Datos_Crudos!F15&gt;20,Datos_Crudos!G15&gt;2000),"CRÍTICA",IF(AND(Datos_Crudos!F15&gt;10,Datos_Crudos!G15&gt;1000),"ALTA",IF(Datos_Crudos!F15&gt;5,"MEDIA","BAJA")))</f>
        <v>BAJA</v>
      </c>
    </row>
    <row r="16" customFormat="false" ht="15" hidden="false" customHeight="false" outlineLevel="0" collapsed="false">
      <c r="A16" s="7" t="str">
        <f aca="false">Datos_Crudos!A16</f>
        <v>F-0014</v>
      </c>
      <c r="B16" s="7" t="str">
        <f aca="false">Datos_Crudos!B16</f>
        <v>2024-07-26</v>
      </c>
      <c r="C16" s="7" t="str">
        <f aca="false">Datos_Crudos!C16</f>
        <v>ROB-002</v>
      </c>
      <c r="D16" s="7" t="str">
        <f aca="false">Datos_Crudos!D16</f>
        <v>Hidráulica</v>
      </c>
      <c r="E16" s="7" t="str">
        <f aca="false">Datos_Crudos!E16</f>
        <v>Cilindro hidráulico</v>
      </c>
      <c r="F16" s="7" t="n">
        <f aca="false">Datos_Crudos!F16</f>
        <v>18.8</v>
      </c>
      <c r="G16" s="8" t="n">
        <f aca="false">Datos_Crudos!G16</f>
        <v>2117.94</v>
      </c>
      <c r="H16" s="7" t="str">
        <f aca="false">Datos_Crudos!H16</f>
        <v>Pedro G.</v>
      </c>
      <c r="I16" s="7" t="str">
        <f aca="false">Datos_Crudos!I16</f>
        <v>Noche</v>
      </c>
      <c r="J16" s="7" t="str">
        <f aca="false">TEXT(DATEVALUE(Datos_Crudos!B16),"MMM-YYYY")</f>
        <v>Jul-2024</v>
      </c>
      <c r="K16" s="7" t="str">
        <f aca="false">IF(MONTH(DATEVALUE(Datos_Crudos!B16))&lt;=6,"S1-2024","S2-2024")</f>
        <v>S2-2024</v>
      </c>
      <c r="L16" s="7" t="str">
        <f aca="false">IF(AND(Datos_Crudos!F16&gt;20,Datos_Crudos!G16&gt;2000),"CRÍTICA",IF(AND(Datos_Crudos!F16&gt;10,Datos_Crudos!G16&gt;1000),"ALTA",IF(Datos_Crudos!F16&gt;5,"MEDIA","BAJA")))</f>
        <v>ALTA</v>
      </c>
    </row>
    <row r="17" customFormat="false" ht="15" hidden="false" customHeight="false" outlineLevel="0" collapsed="false">
      <c r="A17" s="7" t="str">
        <f aca="false">Datos_Crudos!A17</f>
        <v>F-0015</v>
      </c>
      <c r="B17" s="7" t="str">
        <f aca="false">Datos_Crudos!B17</f>
        <v>2024-08-18</v>
      </c>
      <c r="C17" s="7" t="str">
        <f aca="false">Datos_Crudos!C17</f>
        <v>ROB-005</v>
      </c>
      <c r="D17" s="7" t="str">
        <f aca="false">Datos_Crudos!D17</f>
        <v>Eléctrica</v>
      </c>
      <c r="E17" s="7" t="str">
        <f aca="false">Datos_Crudos!E17</f>
        <v>Actuador lineal</v>
      </c>
      <c r="F17" s="7" t="n">
        <f aca="false">Datos_Crudos!F17</f>
        <v>37</v>
      </c>
      <c r="G17" s="8" t="n">
        <f aca="false">Datos_Crudos!G17</f>
        <v>1243.4</v>
      </c>
      <c r="H17" s="7" t="str">
        <f aca="false">Datos_Crudos!H17</f>
        <v>Luisa R.</v>
      </c>
      <c r="I17" s="7" t="str">
        <f aca="false">Datos_Crudos!I17</f>
        <v>Tarde</v>
      </c>
      <c r="J17" s="7" t="str">
        <f aca="false">TEXT(DATEVALUE(Datos_Crudos!B17),"MMM-YYYY")</f>
        <v>Aug-2024</v>
      </c>
      <c r="K17" s="7" t="str">
        <f aca="false">IF(MONTH(DATEVALUE(Datos_Crudos!B17))&lt;=6,"S1-2024","S2-2024")</f>
        <v>S2-2024</v>
      </c>
      <c r="L17" s="7" t="str">
        <f aca="false">IF(AND(Datos_Crudos!F17&gt;20,Datos_Crudos!G17&gt;2000),"CRÍTICA",IF(AND(Datos_Crudos!F17&gt;10,Datos_Crudos!G17&gt;1000),"ALTA",IF(Datos_Crudos!F17&gt;5,"MEDIA","BAJA")))</f>
        <v>ALTA</v>
      </c>
    </row>
    <row r="18" customFormat="false" ht="15" hidden="false" customHeight="false" outlineLevel="0" collapsed="false">
      <c r="A18" s="7" t="str">
        <f aca="false">Datos_Crudos!A18</f>
        <v>F-0016</v>
      </c>
      <c r="B18" s="7" t="str">
        <f aca="false">Datos_Crudos!B18</f>
        <v>2024-08-15</v>
      </c>
      <c r="C18" s="7" t="str">
        <f aca="false">Datos_Crudos!C18</f>
        <v>ROB-003</v>
      </c>
      <c r="D18" s="7" t="str">
        <f aca="false">Datos_Crudos!D18</f>
        <v>Eléctrica</v>
      </c>
      <c r="E18" s="7" t="str">
        <f aca="false">Datos_Crudos!E18</f>
        <v>Válvula solenoide</v>
      </c>
      <c r="F18" s="7" t="n">
        <f aca="false">Datos_Crudos!F18</f>
        <v>24.6</v>
      </c>
      <c r="G18" s="8" t="n">
        <f aca="false">Datos_Crudos!G18</f>
        <v>443.93</v>
      </c>
      <c r="H18" s="7" t="str">
        <f aca="false">Datos_Crudos!H18</f>
        <v>Miguel A.</v>
      </c>
      <c r="I18" s="7" t="str">
        <f aca="false">Datos_Crudos!I18</f>
        <v>Tarde</v>
      </c>
      <c r="J18" s="7" t="str">
        <f aca="false">TEXT(DATEVALUE(Datos_Crudos!B18),"MMM-YYYY")</f>
        <v>Aug-2024</v>
      </c>
      <c r="K18" s="7" t="str">
        <f aca="false">IF(MONTH(DATEVALUE(Datos_Crudos!B18))&lt;=6,"S1-2024","S2-2024")</f>
        <v>S2-2024</v>
      </c>
      <c r="L18" s="7" t="str">
        <f aca="false">IF(AND(Datos_Crudos!F18&gt;20,Datos_Crudos!G18&gt;2000),"CRÍTICA",IF(AND(Datos_Crudos!F18&gt;10,Datos_Crudos!G18&gt;1000),"ALTA",IF(Datos_Crudos!F18&gt;5,"MEDIA","BAJA")))</f>
        <v>MEDIA</v>
      </c>
    </row>
    <row r="19" customFormat="false" ht="15" hidden="false" customHeight="false" outlineLevel="0" collapsed="false">
      <c r="A19" s="7" t="str">
        <f aca="false">Datos_Crudos!A19</f>
        <v>F-0017</v>
      </c>
      <c r="B19" s="7" t="str">
        <f aca="false">Datos_Crudos!B19</f>
        <v>2024-09-20</v>
      </c>
      <c r="C19" s="7" t="str">
        <f aca="false">Datos_Crudos!C19</f>
        <v>ROB-006</v>
      </c>
      <c r="D19" s="7" t="str">
        <f aca="false">Datos_Crudos!D19</f>
        <v>Mecánica</v>
      </c>
      <c r="E19" s="7" t="str">
        <f aca="false">Datos_Crudos!E19</f>
        <v>PLC</v>
      </c>
      <c r="F19" s="7" t="n">
        <f aca="false">Datos_Crudos!F19</f>
        <v>36.7</v>
      </c>
      <c r="G19" s="8" t="n">
        <f aca="false">Datos_Crudos!G19</f>
        <v>1924.68</v>
      </c>
      <c r="H19" s="7" t="str">
        <f aca="false">Datos_Crudos!H19</f>
        <v>Diana F.</v>
      </c>
      <c r="I19" s="7" t="str">
        <f aca="false">Datos_Crudos!I19</f>
        <v>Mañana</v>
      </c>
      <c r="J19" s="7" t="str">
        <f aca="false">TEXT(DATEVALUE(Datos_Crudos!B19),"MMM-YYYY")</f>
        <v>Sep-2024</v>
      </c>
      <c r="K19" s="7" t="str">
        <f aca="false">IF(MONTH(DATEVALUE(Datos_Crudos!B19))&lt;=6,"S1-2024","S2-2024")</f>
        <v>S2-2024</v>
      </c>
      <c r="L19" s="7" t="str">
        <f aca="false">IF(AND(Datos_Crudos!F19&gt;20,Datos_Crudos!G19&gt;2000),"CRÍTICA",IF(AND(Datos_Crudos!F19&gt;10,Datos_Crudos!G19&gt;1000),"ALTA",IF(Datos_Crudos!F19&gt;5,"MEDIA","BAJA")))</f>
        <v>ALTA</v>
      </c>
    </row>
    <row r="20" customFormat="false" ht="15" hidden="false" customHeight="false" outlineLevel="0" collapsed="false">
      <c r="A20" s="7" t="str">
        <f aca="false">Datos_Crudos!A20</f>
        <v>F-0018</v>
      </c>
      <c r="B20" s="7" t="str">
        <f aca="false">Datos_Crudos!B20</f>
        <v>2024-09-11</v>
      </c>
      <c r="C20" s="7" t="str">
        <f aca="false">Datos_Crudos!C20</f>
        <v>ROB-002</v>
      </c>
      <c r="D20" s="7" t="str">
        <f aca="false">Datos_Crudos!D20</f>
        <v>Software</v>
      </c>
      <c r="E20" s="7" t="str">
        <f aca="false">Datos_Crudos!E20</f>
        <v>Motor principal</v>
      </c>
      <c r="F20" s="7" t="n">
        <f aca="false">Datos_Crudos!F20</f>
        <v>44.6</v>
      </c>
      <c r="G20" s="8" t="n">
        <f aca="false">Datos_Crudos!G20</f>
        <v>3085.23</v>
      </c>
      <c r="H20" s="7" t="str">
        <f aca="false">Datos_Crudos!H20</f>
        <v>Luisa R.</v>
      </c>
      <c r="I20" s="7" t="str">
        <f aca="false">Datos_Crudos!I20</f>
        <v>Mañana</v>
      </c>
      <c r="J20" s="7" t="str">
        <f aca="false">TEXT(DATEVALUE(Datos_Crudos!B20),"MMM-YYYY")</f>
        <v>Sep-2024</v>
      </c>
      <c r="K20" s="7" t="str">
        <f aca="false">IF(MONTH(DATEVALUE(Datos_Crudos!B20))&lt;=6,"S1-2024","S2-2024")</f>
        <v>S2-2024</v>
      </c>
      <c r="L20" s="7" t="str">
        <f aca="false">IF(AND(Datos_Crudos!F20&gt;20,Datos_Crudos!G20&gt;2000),"CRÍTICA",IF(AND(Datos_Crudos!F20&gt;10,Datos_Crudos!G20&gt;1000),"ALTA",IF(Datos_Crudos!F20&gt;5,"MEDIA","BAJA")))</f>
        <v>CRÍTICA</v>
      </c>
    </row>
    <row r="21" customFormat="false" ht="15" hidden="false" customHeight="false" outlineLevel="0" collapsed="false">
      <c r="A21" s="7" t="str">
        <f aca="false">Datos_Crudos!A21</f>
        <v>F-0019</v>
      </c>
      <c r="B21" s="7" t="str">
        <f aca="false">Datos_Crudos!B21</f>
        <v>2024-10-08</v>
      </c>
      <c r="C21" s="7" t="str">
        <f aca="false">Datos_Crudos!C21</f>
        <v>ROB-002</v>
      </c>
      <c r="D21" s="7" t="str">
        <f aca="false">Datos_Crudos!D21</f>
        <v>Sensor</v>
      </c>
      <c r="E21" s="7" t="str">
        <f aca="false">Datos_Crudos!E21</f>
        <v>Actuador lineal</v>
      </c>
      <c r="F21" s="7" t="n">
        <f aca="false">Datos_Crudos!F21</f>
        <v>35.3</v>
      </c>
      <c r="G21" s="8" t="n">
        <f aca="false">Datos_Crudos!G21</f>
        <v>2870.8</v>
      </c>
      <c r="H21" s="7" t="str">
        <f aca="false">Datos_Crudos!H21</f>
        <v>Diana F.</v>
      </c>
      <c r="I21" s="7" t="str">
        <f aca="false">Datos_Crudos!I21</f>
        <v>Mañana</v>
      </c>
      <c r="J21" s="7" t="str">
        <f aca="false">TEXT(DATEVALUE(Datos_Crudos!B21),"MMM-YYYY")</f>
        <v>Oct-2024</v>
      </c>
      <c r="K21" s="7" t="str">
        <f aca="false">IF(MONTH(DATEVALUE(Datos_Crudos!B21))&lt;=6,"S1-2024","S2-2024")</f>
        <v>S2-2024</v>
      </c>
      <c r="L21" s="7" t="str">
        <f aca="false">IF(AND(Datos_Crudos!F21&gt;20,Datos_Crudos!G21&gt;2000),"CRÍTICA",IF(AND(Datos_Crudos!F21&gt;10,Datos_Crudos!G21&gt;1000),"ALTA",IF(Datos_Crudos!F21&gt;5,"MEDIA","BAJA")))</f>
        <v>CRÍTICA</v>
      </c>
    </row>
    <row r="22" customFormat="false" ht="15" hidden="false" customHeight="false" outlineLevel="0" collapsed="false">
      <c r="A22" s="7" t="str">
        <f aca="false">Datos_Crudos!A22</f>
        <v>F-0020</v>
      </c>
      <c r="B22" s="7" t="str">
        <f aca="false">Datos_Crudos!B22</f>
        <v>2024-10-22</v>
      </c>
      <c r="C22" s="7" t="str">
        <f aca="false">Datos_Crudos!C22</f>
        <v>ROB-003</v>
      </c>
      <c r="D22" s="7" t="str">
        <f aca="false">Datos_Crudos!D22</f>
        <v>Software</v>
      </c>
      <c r="E22" s="7" t="str">
        <f aca="false">Datos_Crudos!E22</f>
        <v>Panel HMI</v>
      </c>
      <c r="F22" s="7" t="n">
        <f aca="false">Datos_Crudos!F22</f>
        <v>13.1</v>
      </c>
      <c r="G22" s="8" t="n">
        <f aca="false">Datos_Crudos!G22</f>
        <v>3063.72</v>
      </c>
      <c r="H22" s="7" t="str">
        <f aca="false">Datos_Crudos!H22</f>
        <v>Pedro G.</v>
      </c>
      <c r="I22" s="7" t="str">
        <f aca="false">Datos_Crudos!I22</f>
        <v>Mañana</v>
      </c>
      <c r="J22" s="7" t="str">
        <f aca="false">TEXT(DATEVALUE(Datos_Crudos!B22),"MMM-YYYY")</f>
        <v>Oct-2024</v>
      </c>
      <c r="K22" s="7" t="str">
        <f aca="false">IF(MONTH(DATEVALUE(Datos_Crudos!B22))&lt;=6,"S1-2024","S2-2024")</f>
        <v>S2-2024</v>
      </c>
      <c r="L22" s="7" t="str">
        <f aca="false">IF(AND(Datos_Crudos!F22&gt;20,Datos_Crudos!G22&gt;2000),"CRÍTICA",IF(AND(Datos_Crudos!F22&gt;10,Datos_Crudos!G22&gt;1000),"ALTA",IF(Datos_Crudos!F22&gt;5,"MEDIA","BAJA")))</f>
        <v>ALTA</v>
      </c>
    </row>
    <row r="23" customFormat="false" ht="15" hidden="false" customHeight="false" outlineLevel="0" collapsed="false">
      <c r="A23" s="7" t="str">
        <f aca="false">Datos_Crudos!A23</f>
        <v>F-0021</v>
      </c>
      <c r="B23" s="7" t="str">
        <f aca="false">Datos_Crudos!B23</f>
        <v>2024-11-25</v>
      </c>
      <c r="C23" s="7" t="str">
        <f aca="false">Datos_Crudos!C23</f>
        <v>ROB-005</v>
      </c>
      <c r="D23" s="7" t="str">
        <f aca="false">Datos_Crudos!D23</f>
        <v>Hidráulica</v>
      </c>
      <c r="E23" s="7" t="str">
        <f aca="false">Datos_Crudos!E23</f>
        <v>Sensor posición</v>
      </c>
      <c r="F23" s="7" t="n">
        <f aca="false">Datos_Crudos!F23</f>
        <v>19.5</v>
      </c>
      <c r="G23" s="8" t="n">
        <f aca="false">Datos_Crudos!G23</f>
        <v>2377.17</v>
      </c>
      <c r="H23" s="7" t="str">
        <f aca="false">Datos_Crudos!H23</f>
        <v>Luisa R.</v>
      </c>
      <c r="I23" s="7" t="str">
        <f aca="false">Datos_Crudos!I23</f>
        <v>Tarde</v>
      </c>
      <c r="J23" s="7" t="str">
        <f aca="false">TEXT(DATEVALUE(Datos_Crudos!B23),"MMM-YYYY")</f>
        <v>Nov-2024</v>
      </c>
      <c r="K23" s="7" t="str">
        <f aca="false">IF(MONTH(DATEVALUE(Datos_Crudos!B23))&lt;=6,"S1-2024","S2-2024")</f>
        <v>S2-2024</v>
      </c>
      <c r="L23" s="7" t="str">
        <f aca="false">IF(AND(Datos_Crudos!F23&gt;20,Datos_Crudos!G23&gt;2000),"CRÍTICA",IF(AND(Datos_Crudos!F23&gt;10,Datos_Crudos!G23&gt;1000),"ALTA",IF(Datos_Crudos!F23&gt;5,"MEDIA","BAJA")))</f>
        <v>ALTA</v>
      </c>
    </row>
    <row r="24" customFormat="false" ht="15" hidden="false" customHeight="false" outlineLevel="0" collapsed="false">
      <c r="A24" s="7" t="str">
        <f aca="false">Datos_Crudos!A24</f>
        <v>F-0022</v>
      </c>
      <c r="B24" s="7" t="str">
        <f aca="false">Datos_Crudos!B24</f>
        <v>2024-11-15</v>
      </c>
      <c r="C24" s="7" t="str">
        <f aca="false">Datos_Crudos!C24</f>
        <v>ROB-004</v>
      </c>
      <c r="D24" s="7" t="str">
        <f aca="false">Datos_Crudos!D24</f>
        <v>Eléctrica</v>
      </c>
      <c r="E24" s="7" t="str">
        <f aca="false">Datos_Crudos!E24</f>
        <v>Sensor posición</v>
      </c>
      <c r="F24" s="7" t="n">
        <f aca="false">Datos_Crudos!F24</f>
        <v>3.5</v>
      </c>
      <c r="G24" s="8" t="n">
        <f aca="false">Datos_Crudos!G24</f>
        <v>151.94</v>
      </c>
      <c r="H24" s="7" t="str">
        <f aca="false">Datos_Crudos!H24</f>
        <v>Diana F.</v>
      </c>
      <c r="I24" s="7" t="str">
        <f aca="false">Datos_Crudos!I24</f>
        <v>Mañana</v>
      </c>
      <c r="J24" s="7" t="str">
        <f aca="false">TEXT(DATEVALUE(Datos_Crudos!B24),"MMM-YYYY")</f>
        <v>Nov-2024</v>
      </c>
      <c r="K24" s="7" t="str">
        <f aca="false">IF(MONTH(DATEVALUE(Datos_Crudos!B24))&lt;=6,"S1-2024","S2-2024")</f>
        <v>S2-2024</v>
      </c>
      <c r="L24" s="7" t="str">
        <f aca="false">IF(AND(Datos_Crudos!F24&gt;20,Datos_Crudos!G24&gt;2000),"CRÍTICA",IF(AND(Datos_Crudos!F24&gt;10,Datos_Crudos!G24&gt;1000),"ALTA",IF(Datos_Crudos!F24&gt;5,"MEDIA","BAJA")))</f>
        <v>BAJA</v>
      </c>
    </row>
    <row r="25" customFormat="false" ht="15" hidden="false" customHeight="false" outlineLevel="0" collapsed="false">
      <c r="A25" s="7" t="str">
        <f aca="false">Datos_Crudos!A25</f>
        <v>F-0023</v>
      </c>
      <c r="B25" s="7" t="str">
        <f aca="false">Datos_Crudos!B25</f>
        <v>2024-12-08</v>
      </c>
      <c r="C25" s="7" t="str">
        <f aca="false">Datos_Crudos!C25</f>
        <v>ROB-001</v>
      </c>
      <c r="D25" s="7" t="str">
        <f aca="false">Datos_Crudos!D25</f>
        <v>Eléctrica</v>
      </c>
      <c r="E25" s="7" t="str">
        <f aca="false">Datos_Crudos!E25</f>
        <v>Actuador lineal</v>
      </c>
      <c r="F25" s="7" t="n">
        <f aca="false">Datos_Crudos!F25</f>
        <v>11.4</v>
      </c>
      <c r="G25" s="8" t="n">
        <f aca="false">Datos_Crudos!G25</f>
        <v>3176.54</v>
      </c>
      <c r="H25" s="7" t="str">
        <f aca="false">Datos_Crudos!H25</f>
        <v>Luisa R.</v>
      </c>
      <c r="I25" s="7" t="str">
        <f aca="false">Datos_Crudos!I25</f>
        <v>Mañana</v>
      </c>
      <c r="J25" s="7" t="str">
        <f aca="false">TEXT(DATEVALUE(Datos_Crudos!B25),"MMM-YYYY")</f>
        <v>Dec-2024</v>
      </c>
      <c r="K25" s="7" t="str">
        <f aca="false">IF(MONTH(DATEVALUE(Datos_Crudos!B25))&lt;=6,"S1-2024","S2-2024")</f>
        <v>S2-2024</v>
      </c>
      <c r="L25" s="7" t="str">
        <f aca="false">IF(AND(Datos_Crudos!F25&gt;20,Datos_Crudos!G25&gt;2000),"CRÍTICA",IF(AND(Datos_Crudos!F25&gt;10,Datos_Crudos!G25&gt;1000),"ALTA",IF(Datos_Crudos!F25&gt;5,"MEDIA","BAJA")))</f>
        <v>ALTA</v>
      </c>
    </row>
    <row r="26" customFormat="false" ht="15" hidden="false" customHeight="false" outlineLevel="0" collapsed="false">
      <c r="A26" s="7" t="str">
        <f aca="false">Datos_Crudos!A26</f>
        <v>F-0024</v>
      </c>
      <c r="B26" s="7" t="str">
        <f aca="false">Datos_Crudos!B26</f>
        <v>2024-12-08</v>
      </c>
      <c r="C26" s="7" t="str">
        <f aca="false">Datos_Crudos!C26</f>
        <v>ROB-004</v>
      </c>
      <c r="D26" s="7" t="str">
        <f aca="false">Datos_Crudos!D26</f>
        <v>Neumática</v>
      </c>
      <c r="E26" s="7" t="str">
        <f aca="false">Datos_Crudos!E26</f>
        <v>Servo drive</v>
      </c>
      <c r="F26" s="7" t="n">
        <f aca="false">Datos_Crudos!F26</f>
        <v>26.1</v>
      </c>
      <c r="G26" s="8" t="n">
        <f aca="false">Datos_Crudos!G26</f>
        <v>2553.87</v>
      </c>
      <c r="H26" s="7" t="str">
        <f aca="false">Datos_Crudos!H26</f>
        <v>Diana F.</v>
      </c>
      <c r="I26" s="7" t="str">
        <f aca="false">Datos_Crudos!I26</f>
        <v>Noche</v>
      </c>
      <c r="J26" s="7" t="str">
        <f aca="false">TEXT(DATEVALUE(Datos_Crudos!B26),"MMM-YYYY")</f>
        <v>Dec-2024</v>
      </c>
      <c r="K26" s="7" t="str">
        <f aca="false">IF(MONTH(DATEVALUE(Datos_Crudos!B26))&lt;=6,"S1-2024","S2-2024")</f>
        <v>S2-2024</v>
      </c>
      <c r="L26" s="7" t="str">
        <f aca="false">IF(AND(Datos_Crudos!F26&gt;20,Datos_Crudos!G26&gt;2000),"CRÍTICA",IF(AND(Datos_Crudos!F26&gt;10,Datos_Crudos!G26&gt;1000),"ALTA",IF(Datos_Crudos!F26&gt;5,"MEDIA","BAJA")))</f>
        <v>CRÍTICA</v>
      </c>
    </row>
    <row r="27" customFormat="false" ht="15" hidden="false" customHeight="false" outlineLevel="0" collapsed="false">
      <c r="A27" s="7" t="str">
        <f aca="false">Datos_Crudos!A27</f>
        <v>F-0025</v>
      </c>
      <c r="B27" s="7" t="str">
        <f aca="false">Datos_Crudos!B27</f>
        <v>2024-01-08</v>
      </c>
      <c r="C27" s="7" t="str">
        <f aca="false">Datos_Crudos!C27</f>
        <v>ROB-004</v>
      </c>
      <c r="D27" s="7" t="str">
        <f aca="false">Datos_Crudos!D27</f>
        <v>Software</v>
      </c>
      <c r="E27" s="7" t="str">
        <f aca="false">Datos_Crudos!E27</f>
        <v>Cilindro hidráulico</v>
      </c>
      <c r="F27" s="7" t="n">
        <f aca="false">Datos_Crudos!F27</f>
        <v>5</v>
      </c>
      <c r="G27" s="8" t="n">
        <f aca="false">Datos_Crudos!G27</f>
        <v>2333.72</v>
      </c>
      <c r="H27" s="7" t="str">
        <f aca="false">Datos_Crudos!H27</f>
        <v>Luisa R.</v>
      </c>
      <c r="I27" s="7" t="str">
        <f aca="false">Datos_Crudos!I27</f>
        <v>Tarde</v>
      </c>
      <c r="J27" s="7" t="str">
        <f aca="false">TEXT(DATEVALUE(Datos_Crudos!B27),"MMM-YYYY")</f>
        <v>Jan-2024</v>
      </c>
      <c r="K27" s="7" t="str">
        <f aca="false">IF(MONTH(DATEVALUE(Datos_Crudos!B27))&lt;=6,"S1-2024","S2-2024")</f>
        <v>S1-2024</v>
      </c>
      <c r="L27" s="7" t="str">
        <f aca="false">IF(AND(Datos_Crudos!F27&gt;20,Datos_Crudos!G27&gt;2000),"CRÍTICA",IF(AND(Datos_Crudos!F27&gt;10,Datos_Crudos!G27&gt;1000),"ALTA",IF(Datos_Crudos!F27&gt;5,"MEDIA","BAJA")))</f>
        <v>BAJA</v>
      </c>
    </row>
    <row r="28" customFormat="false" ht="15" hidden="false" customHeight="false" outlineLevel="0" collapsed="false">
      <c r="A28" s="7" t="str">
        <f aca="false">Datos_Crudos!A28</f>
        <v>F-0026</v>
      </c>
      <c r="B28" s="7" t="str">
        <f aca="false">Datos_Crudos!B28</f>
        <v>2024-01-15</v>
      </c>
      <c r="C28" s="7" t="str">
        <f aca="false">Datos_Crudos!C28</f>
        <v>ROB-002</v>
      </c>
      <c r="D28" s="7" t="str">
        <f aca="false">Datos_Crudos!D28</f>
        <v>Hidráulica</v>
      </c>
      <c r="E28" s="7" t="str">
        <f aca="false">Datos_Crudos!E28</f>
        <v>Motor principal</v>
      </c>
      <c r="F28" s="7" t="n">
        <f aca="false">Datos_Crudos!F28</f>
        <v>3.4</v>
      </c>
      <c r="G28" s="8" t="n">
        <f aca="false">Datos_Crudos!G28</f>
        <v>2570.49</v>
      </c>
      <c r="H28" s="7" t="str">
        <f aca="false">Datos_Crudos!H28</f>
        <v>Carlos M.</v>
      </c>
      <c r="I28" s="7" t="str">
        <f aca="false">Datos_Crudos!I28</f>
        <v>Mañana</v>
      </c>
      <c r="J28" s="7" t="str">
        <f aca="false">TEXT(DATEVALUE(Datos_Crudos!B28),"MMM-YYYY")</f>
        <v>Jan-2024</v>
      </c>
      <c r="K28" s="7" t="str">
        <f aca="false">IF(MONTH(DATEVALUE(Datos_Crudos!B28))&lt;=6,"S1-2024","S2-2024")</f>
        <v>S1-2024</v>
      </c>
      <c r="L28" s="7" t="str">
        <f aca="false">IF(AND(Datos_Crudos!F28&gt;20,Datos_Crudos!G28&gt;2000),"CRÍTICA",IF(AND(Datos_Crudos!F28&gt;10,Datos_Crudos!G28&gt;1000),"ALTA",IF(Datos_Crudos!F28&gt;5,"MEDIA","BAJA")))</f>
        <v>BAJA</v>
      </c>
    </row>
    <row r="29" customFormat="false" ht="15" hidden="false" customHeight="false" outlineLevel="0" collapsed="false">
      <c r="A29" s="7" t="str">
        <f aca="false">Datos_Crudos!A29</f>
        <v>F-0027</v>
      </c>
      <c r="B29" s="7" t="str">
        <f aca="false">Datos_Crudos!B29</f>
        <v>2024-02-07</v>
      </c>
      <c r="C29" s="7" t="str">
        <f aca="false">Datos_Crudos!C29</f>
        <v>ROB-003</v>
      </c>
      <c r="D29" s="7" t="str">
        <f aca="false">Datos_Crudos!D29</f>
        <v>Sensor</v>
      </c>
      <c r="E29" s="7" t="str">
        <f aca="false">Datos_Crudos!E29</f>
        <v>Servo drive</v>
      </c>
      <c r="F29" s="7" t="n">
        <f aca="false">Datos_Crudos!F29</f>
        <v>20.5</v>
      </c>
      <c r="G29" s="8" t="n">
        <f aca="false">Datos_Crudos!G29</f>
        <v>1032.62</v>
      </c>
      <c r="H29" s="7" t="str">
        <f aca="false">Datos_Crudos!H29</f>
        <v>Ana P.</v>
      </c>
      <c r="I29" s="7" t="str">
        <f aca="false">Datos_Crudos!I29</f>
        <v>Mañana</v>
      </c>
      <c r="J29" s="7" t="str">
        <f aca="false">TEXT(DATEVALUE(Datos_Crudos!B29),"MMM-YYYY")</f>
        <v>Feb-2024</v>
      </c>
      <c r="K29" s="7" t="str">
        <f aca="false">IF(MONTH(DATEVALUE(Datos_Crudos!B29))&lt;=6,"S1-2024","S2-2024")</f>
        <v>S1-2024</v>
      </c>
      <c r="L29" s="7" t="str">
        <f aca="false">IF(AND(Datos_Crudos!F29&gt;20,Datos_Crudos!G29&gt;2000),"CRÍTICA",IF(AND(Datos_Crudos!F29&gt;10,Datos_Crudos!G29&gt;1000),"ALTA",IF(Datos_Crudos!F29&gt;5,"MEDIA","BAJA")))</f>
        <v>ALTA</v>
      </c>
    </row>
    <row r="30" customFormat="false" ht="15" hidden="false" customHeight="false" outlineLevel="0" collapsed="false">
      <c r="A30" s="7" t="str">
        <f aca="false">Datos_Crudos!A30</f>
        <v>F-0028</v>
      </c>
      <c r="B30" s="7" t="str">
        <f aca="false">Datos_Crudos!B30</f>
        <v>2024-02-26</v>
      </c>
      <c r="C30" s="7" t="str">
        <f aca="false">Datos_Crudos!C30</f>
        <v>ROB-001</v>
      </c>
      <c r="D30" s="7" t="str">
        <f aca="false">Datos_Crudos!D30</f>
        <v>Sensor</v>
      </c>
      <c r="E30" s="7" t="str">
        <f aca="false">Datos_Crudos!E30</f>
        <v>Actuador lineal</v>
      </c>
      <c r="F30" s="7" t="n">
        <f aca="false">Datos_Crudos!F30</f>
        <v>31.5</v>
      </c>
      <c r="G30" s="8" t="n">
        <f aca="false">Datos_Crudos!G30</f>
        <v>1928.81</v>
      </c>
      <c r="H30" s="7" t="str">
        <f aca="false">Datos_Crudos!H30</f>
        <v>Carlos M.</v>
      </c>
      <c r="I30" s="7" t="str">
        <f aca="false">Datos_Crudos!I30</f>
        <v>Mañana</v>
      </c>
      <c r="J30" s="7" t="str">
        <f aca="false">TEXT(DATEVALUE(Datos_Crudos!B30),"MMM-YYYY")</f>
        <v>Feb-2024</v>
      </c>
      <c r="K30" s="7" t="str">
        <f aca="false">IF(MONTH(DATEVALUE(Datos_Crudos!B30))&lt;=6,"S1-2024","S2-2024")</f>
        <v>S1-2024</v>
      </c>
      <c r="L30" s="7" t="str">
        <f aca="false">IF(AND(Datos_Crudos!F30&gt;20,Datos_Crudos!G30&gt;2000),"CRÍTICA",IF(AND(Datos_Crudos!F30&gt;10,Datos_Crudos!G30&gt;1000),"ALTA",IF(Datos_Crudos!F30&gt;5,"MEDIA","BAJA")))</f>
        <v>ALTA</v>
      </c>
    </row>
    <row r="31" customFormat="false" ht="15" hidden="false" customHeight="false" outlineLevel="0" collapsed="false">
      <c r="A31" s="7" t="str">
        <f aca="false">Datos_Crudos!A31</f>
        <v>F-0029</v>
      </c>
      <c r="B31" s="7" t="str">
        <f aca="false">Datos_Crudos!B31</f>
        <v>2024-03-06</v>
      </c>
      <c r="C31" s="7" t="str">
        <f aca="false">Datos_Crudos!C31</f>
        <v>ROB-008</v>
      </c>
      <c r="D31" s="7" t="str">
        <f aca="false">Datos_Crudos!D31</f>
        <v>Software</v>
      </c>
      <c r="E31" s="7" t="str">
        <f aca="false">Datos_Crudos!E31</f>
        <v>Servo drive</v>
      </c>
      <c r="F31" s="7" t="n">
        <f aca="false">Datos_Crudos!F31</f>
        <v>10.7</v>
      </c>
      <c r="G31" s="8" t="n">
        <f aca="false">Datos_Crudos!G31</f>
        <v>1451.56</v>
      </c>
      <c r="H31" s="7" t="str">
        <f aca="false">Datos_Crudos!H31</f>
        <v>Carlos M.</v>
      </c>
      <c r="I31" s="7" t="str">
        <f aca="false">Datos_Crudos!I31</f>
        <v>Mañana</v>
      </c>
      <c r="J31" s="7" t="str">
        <f aca="false">TEXT(DATEVALUE(Datos_Crudos!B31),"MMM-YYYY")</f>
        <v>Mar-2024</v>
      </c>
      <c r="K31" s="7" t="str">
        <f aca="false">IF(MONTH(DATEVALUE(Datos_Crudos!B31))&lt;=6,"S1-2024","S2-2024")</f>
        <v>S1-2024</v>
      </c>
      <c r="L31" s="7" t="str">
        <f aca="false">IF(AND(Datos_Crudos!F31&gt;20,Datos_Crudos!G31&gt;2000),"CRÍTICA",IF(AND(Datos_Crudos!F31&gt;10,Datos_Crudos!G31&gt;1000),"ALTA",IF(Datos_Crudos!F31&gt;5,"MEDIA","BAJA")))</f>
        <v>ALTA</v>
      </c>
    </row>
    <row r="32" customFormat="false" ht="15" hidden="false" customHeight="false" outlineLevel="0" collapsed="false">
      <c r="A32" s="7" t="str">
        <f aca="false">Datos_Crudos!A32</f>
        <v>F-0030</v>
      </c>
      <c r="B32" s="7" t="str">
        <f aca="false">Datos_Crudos!B32</f>
        <v>2024-03-01</v>
      </c>
      <c r="C32" s="7" t="str">
        <f aca="false">Datos_Crudos!C32</f>
        <v>ROB-008</v>
      </c>
      <c r="D32" s="7" t="str">
        <f aca="false">Datos_Crudos!D32</f>
        <v>Software</v>
      </c>
      <c r="E32" s="7" t="str">
        <f aca="false">Datos_Crudos!E32</f>
        <v>Válvula solenoide</v>
      </c>
      <c r="F32" s="7" t="n">
        <f aca="false">Datos_Crudos!F32</f>
        <v>14</v>
      </c>
      <c r="G32" s="8" t="n">
        <f aca="false">Datos_Crudos!G32</f>
        <v>2462.34</v>
      </c>
      <c r="H32" s="7" t="str">
        <f aca="false">Datos_Crudos!H32</f>
        <v>Miguel A.</v>
      </c>
      <c r="I32" s="7" t="str">
        <f aca="false">Datos_Crudos!I32</f>
        <v>Noche</v>
      </c>
      <c r="J32" s="7" t="str">
        <f aca="false">TEXT(DATEVALUE(Datos_Crudos!B32),"MMM-YYYY")</f>
        <v>Mar-2024</v>
      </c>
      <c r="K32" s="7" t="str">
        <f aca="false">IF(MONTH(DATEVALUE(Datos_Crudos!B32))&lt;=6,"S1-2024","S2-2024")</f>
        <v>S1-2024</v>
      </c>
      <c r="L32" s="7" t="str">
        <f aca="false">IF(AND(Datos_Crudos!F32&gt;20,Datos_Crudos!G32&gt;2000),"CRÍTICA",IF(AND(Datos_Crudos!F32&gt;10,Datos_Crudos!G32&gt;1000),"ALTA",IF(Datos_Crudos!F32&gt;5,"MEDIA","BAJA")))</f>
        <v>ALTA</v>
      </c>
    </row>
    <row r="33" customFormat="false" ht="15" hidden="false" customHeight="false" outlineLevel="0" collapsed="false">
      <c r="A33" s="7" t="str">
        <f aca="false">Datos_Crudos!A33</f>
        <v>F-0031</v>
      </c>
      <c r="B33" s="7" t="str">
        <f aca="false">Datos_Crudos!B33</f>
        <v>2024-04-05</v>
      </c>
      <c r="C33" s="7" t="str">
        <f aca="false">Datos_Crudos!C33</f>
        <v>ROB-004</v>
      </c>
      <c r="D33" s="7" t="str">
        <f aca="false">Datos_Crudos!D33</f>
        <v>Mecánica</v>
      </c>
      <c r="E33" s="7" t="str">
        <f aca="false">Datos_Crudos!E33</f>
        <v>Válvula solenoide</v>
      </c>
      <c r="F33" s="7" t="n">
        <f aca="false">Datos_Crudos!F33</f>
        <v>46.5</v>
      </c>
      <c r="G33" s="8" t="n">
        <f aca="false">Datos_Crudos!G33</f>
        <v>2060.8</v>
      </c>
      <c r="H33" s="7" t="str">
        <f aca="false">Datos_Crudos!H33</f>
        <v>Diana F.</v>
      </c>
      <c r="I33" s="7" t="str">
        <f aca="false">Datos_Crudos!I33</f>
        <v>Mañana</v>
      </c>
      <c r="J33" s="7" t="str">
        <f aca="false">TEXT(DATEVALUE(Datos_Crudos!B33),"MMM-YYYY")</f>
        <v>Apr-2024</v>
      </c>
      <c r="K33" s="7" t="str">
        <f aca="false">IF(MONTH(DATEVALUE(Datos_Crudos!B33))&lt;=6,"S1-2024","S2-2024")</f>
        <v>S1-2024</v>
      </c>
      <c r="L33" s="7" t="str">
        <f aca="false">IF(AND(Datos_Crudos!F33&gt;20,Datos_Crudos!G33&gt;2000),"CRÍTICA",IF(AND(Datos_Crudos!F33&gt;10,Datos_Crudos!G33&gt;1000),"ALTA",IF(Datos_Crudos!F33&gt;5,"MEDIA","BAJA")))</f>
        <v>CRÍTICA</v>
      </c>
    </row>
    <row r="34" customFormat="false" ht="15" hidden="false" customHeight="false" outlineLevel="0" collapsed="false">
      <c r="A34" s="7" t="str">
        <f aca="false">Datos_Crudos!A34</f>
        <v>F-0032</v>
      </c>
      <c r="B34" s="7" t="str">
        <f aca="false">Datos_Crudos!B34</f>
        <v>2024-04-02</v>
      </c>
      <c r="C34" s="7" t="str">
        <f aca="false">Datos_Crudos!C34</f>
        <v>ROB-008</v>
      </c>
      <c r="D34" s="7" t="str">
        <f aca="false">Datos_Crudos!D34</f>
        <v>Eléctrica</v>
      </c>
      <c r="E34" s="7" t="str">
        <f aca="false">Datos_Crudos!E34</f>
        <v>Reductor planetario</v>
      </c>
      <c r="F34" s="7" t="n">
        <f aca="false">Datos_Crudos!F34</f>
        <v>24.4</v>
      </c>
      <c r="G34" s="8" t="n">
        <f aca="false">Datos_Crudos!G34</f>
        <v>2996.3</v>
      </c>
      <c r="H34" s="7" t="str">
        <f aca="false">Datos_Crudos!H34</f>
        <v>Ana P.</v>
      </c>
      <c r="I34" s="7" t="str">
        <f aca="false">Datos_Crudos!I34</f>
        <v>Mañana</v>
      </c>
      <c r="J34" s="7" t="str">
        <f aca="false">TEXT(DATEVALUE(Datos_Crudos!B34),"MMM-YYYY")</f>
        <v>Apr-2024</v>
      </c>
      <c r="K34" s="7" t="str">
        <f aca="false">IF(MONTH(DATEVALUE(Datos_Crudos!B34))&lt;=6,"S1-2024","S2-2024")</f>
        <v>S1-2024</v>
      </c>
      <c r="L34" s="7" t="str">
        <f aca="false">IF(AND(Datos_Crudos!F34&gt;20,Datos_Crudos!G34&gt;2000),"CRÍTICA",IF(AND(Datos_Crudos!F34&gt;10,Datos_Crudos!G34&gt;1000),"ALTA",IF(Datos_Crudos!F34&gt;5,"MEDIA","BAJA")))</f>
        <v>CRÍTICA</v>
      </c>
    </row>
    <row r="35" customFormat="false" ht="15" hidden="false" customHeight="false" outlineLevel="0" collapsed="false">
      <c r="A35" s="7" t="str">
        <f aca="false">Datos_Crudos!A35</f>
        <v>F-0033</v>
      </c>
      <c r="B35" s="7" t="str">
        <f aca="false">Datos_Crudos!B35</f>
        <v>2024-05-03</v>
      </c>
      <c r="C35" s="7" t="str">
        <f aca="false">Datos_Crudos!C35</f>
        <v>ROB-002</v>
      </c>
      <c r="D35" s="7" t="str">
        <f aca="false">Datos_Crudos!D35</f>
        <v>Mecánica</v>
      </c>
      <c r="E35" s="7" t="str">
        <f aca="false">Datos_Crudos!E35</f>
        <v>Actuador lineal</v>
      </c>
      <c r="F35" s="7" t="n">
        <f aca="false">Datos_Crudos!F35</f>
        <v>32.6</v>
      </c>
      <c r="G35" s="8" t="n">
        <f aca="false">Datos_Crudos!G35</f>
        <v>884.4</v>
      </c>
      <c r="H35" s="7" t="str">
        <f aca="false">Datos_Crudos!H35</f>
        <v>Carlos M.</v>
      </c>
      <c r="I35" s="7" t="str">
        <f aca="false">Datos_Crudos!I35</f>
        <v>Noche</v>
      </c>
      <c r="J35" s="7" t="str">
        <f aca="false">TEXT(DATEVALUE(Datos_Crudos!B35),"MMM-YYYY")</f>
        <v>May-2024</v>
      </c>
      <c r="K35" s="7" t="str">
        <f aca="false">IF(MONTH(DATEVALUE(Datos_Crudos!B35))&lt;=6,"S1-2024","S2-2024")</f>
        <v>S1-2024</v>
      </c>
      <c r="L35" s="7" t="str">
        <f aca="false">IF(AND(Datos_Crudos!F35&gt;20,Datos_Crudos!G35&gt;2000),"CRÍTICA",IF(AND(Datos_Crudos!F35&gt;10,Datos_Crudos!G35&gt;1000),"ALTA",IF(Datos_Crudos!F35&gt;5,"MEDIA","BAJA")))</f>
        <v>MEDIA</v>
      </c>
    </row>
    <row r="36" customFormat="false" ht="15" hidden="false" customHeight="false" outlineLevel="0" collapsed="false">
      <c r="A36" s="7" t="str">
        <f aca="false">Datos_Crudos!A36</f>
        <v>F-0034</v>
      </c>
      <c r="B36" s="7" t="str">
        <f aca="false">Datos_Crudos!B36</f>
        <v>2024-05-19</v>
      </c>
      <c r="C36" s="7" t="str">
        <f aca="false">Datos_Crudos!C36</f>
        <v>ROB-002</v>
      </c>
      <c r="D36" s="7" t="str">
        <f aca="false">Datos_Crudos!D36</f>
        <v>Sensor</v>
      </c>
      <c r="E36" s="7" t="str">
        <f aca="false">Datos_Crudos!E36</f>
        <v>Motor principal</v>
      </c>
      <c r="F36" s="7" t="n">
        <f aca="false">Datos_Crudos!F36</f>
        <v>20.4</v>
      </c>
      <c r="G36" s="8" t="n">
        <f aca="false">Datos_Crudos!G36</f>
        <v>2076.16</v>
      </c>
      <c r="H36" s="7" t="str">
        <f aca="false">Datos_Crudos!H36</f>
        <v>Diana F.</v>
      </c>
      <c r="I36" s="7" t="str">
        <f aca="false">Datos_Crudos!I36</f>
        <v>Tarde</v>
      </c>
      <c r="J36" s="7" t="str">
        <f aca="false">TEXT(DATEVALUE(Datos_Crudos!B36),"MMM-YYYY")</f>
        <v>May-2024</v>
      </c>
      <c r="K36" s="7" t="str">
        <f aca="false">IF(MONTH(DATEVALUE(Datos_Crudos!B36))&lt;=6,"S1-2024","S2-2024")</f>
        <v>S1-2024</v>
      </c>
      <c r="L36" s="7" t="str">
        <f aca="false">IF(AND(Datos_Crudos!F36&gt;20,Datos_Crudos!G36&gt;2000),"CRÍTICA",IF(AND(Datos_Crudos!F36&gt;10,Datos_Crudos!G36&gt;1000),"ALTA",IF(Datos_Crudos!F36&gt;5,"MEDIA","BAJA")))</f>
        <v>CRÍTICA</v>
      </c>
    </row>
    <row r="37" customFormat="false" ht="15" hidden="false" customHeight="false" outlineLevel="0" collapsed="false">
      <c r="A37" s="7" t="str">
        <f aca="false">Datos_Crudos!A37</f>
        <v>F-0035</v>
      </c>
      <c r="B37" s="7" t="str">
        <f aca="false">Datos_Crudos!B37</f>
        <v>2024-06-07</v>
      </c>
      <c r="C37" s="7" t="str">
        <f aca="false">Datos_Crudos!C37</f>
        <v>ROB-004</v>
      </c>
      <c r="D37" s="7" t="str">
        <f aca="false">Datos_Crudos!D37</f>
        <v>Hidráulica</v>
      </c>
      <c r="E37" s="7" t="str">
        <f aca="false">Datos_Crudos!E37</f>
        <v>Encoder rotativo</v>
      </c>
      <c r="F37" s="7" t="n">
        <f aca="false">Datos_Crudos!F37</f>
        <v>13.1</v>
      </c>
      <c r="G37" s="8" t="n">
        <f aca="false">Datos_Crudos!G37</f>
        <v>527.6</v>
      </c>
      <c r="H37" s="7" t="str">
        <f aca="false">Datos_Crudos!H37</f>
        <v>Miguel A.</v>
      </c>
      <c r="I37" s="7" t="str">
        <f aca="false">Datos_Crudos!I37</f>
        <v>Tarde</v>
      </c>
      <c r="J37" s="7" t="str">
        <f aca="false">TEXT(DATEVALUE(Datos_Crudos!B37),"MMM-YYYY")</f>
        <v>Jun-2024</v>
      </c>
      <c r="K37" s="7" t="str">
        <f aca="false">IF(MONTH(DATEVALUE(Datos_Crudos!B37))&lt;=6,"S1-2024","S2-2024")</f>
        <v>S1-2024</v>
      </c>
      <c r="L37" s="7" t="str">
        <f aca="false">IF(AND(Datos_Crudos!F37&gt;20,Datos_Crudos!G37&gt;2000),"CRÍTICA",IF(AND(Datos_Crudos!F37&gt;10,Datos_Crudos!G37&gt;1000),"ALTA",IF(Datos_Crudos!F37&gt;5,"MEDIA","BAJA")))</f>
        <v>MEDIA</v>
      </c>
    </row>
    <row r="38" customFormat="false" ht="15" hidden="false" customHeight="false" outlineLevel="0" collapsed="false">
      <c r="A38" s="7" t="str">
        <f aca="false">Datos_Crudos!A38</f>
        <v>F-0036</v>
      </c>
      <c r="B38" s="7" t="str">
        <f aca="false">Datos_Crudos!B38</f>
        <v>2024-06-11</v>
      </c>
      <c r="C38" s="7" t="str">
        <f aca="false">Datos_Crudos!C38</f>
        <v>ROB-008</v>
      </c>
      <c r="D38" s="7" t="str">
        <f aca="false">Datos_Crudos!D38</f>
        <v>Eléctrica</v>
      </c>
      <c r="E38" s="7" t="str">
        <f aca="false">Datos_Crudos!E38</f>
        <v>Motor principal</v>
      </c>
      <c r="F38" s="7" t="n">
        <f aca="false">Datos_Crudos!F38</f>
        <v>30</v>
      </c>
      <c r="G38" s="8" t="n">
        <f aca="false">Datos_Crudos!G38</f>
        <v>2005.44</v>
      </c>
      <c r="H38" s="7" t="str">
        <f aca="false">Datos_Crudos!H38</f>
        <v>Carlos M.</v>
      </c>
      <c r="I38" s="7" t="str">
        <f aca="false">Datos_Crudos!I38</f>
        <v>Mañana</v>
      </c>
      <c r="J38" s="7" t="str">
        <f aca="false">TEXT(DATEVALUE(Datos_Crudos!B38),"MMM-YYYY")</f>
        <v>Jun-2024</v>
      </c>
      <c r="K38" s="7" t="str">
        <f aca="false">IF(MONTH(DATEVALUE(Datos_Crudos!B38))&lt;=6,"S1-2024","S2-2024")</f>
        <v>S1-2024</v>
      </c>
      <c r="L38" s="7" t="str">
        <f aca="false">IF(AND(Datos_Crudos!F38&gt;20,Datos_Crudos!G38&gt;2000),"CRÍTICA",IF(AND(Datos_Crudos!F38&gt;10,Datos_Crudos!G38&gt;1000),"ALTA",IF(Datos_Crudos!F38&gt;5,"MEDIA","BAJA")))</f>
        <v>CRÍTICA</v>
      </c>
    </row>
    <row r="39" customFormat="false" ht="15" hidden="false" customHeight="false" outlineLevel="0" collapsed="false">
      <c r="A39" s="7" t="str">
        <f aca="false">Datos_Crudos!A39</f>
        <v>F-0037</v>
      </c>
      <c r="B39" s="7" t="str">
        <f aca="false">Datos_Crudos!B39</f>
        <v>2024-07-07</v>
      </c>
      <c r="C39" s="7" t="str">
        <f aca="false">Datos_Crudos!C39</f>
        <v>ROB-003</v>
      </c>
      <c r="D39" s="7" t="str">
        <f aca="false">Datos_Crudos!D39</f>
        <v>Sensor</v>
      </c>
      <c r="E39" s="7" t="str">
        <f aca="false">Datos_Crudos!E39</f>
        <v>Válvula solenoide</v>
      </c>
      <c r="F39" s="7" t="n">
        <f aca="false">Datos_Crudos!F39</f>
        <v>44.8</v>
      </c>
      <c r="G39" s="8" t="n">
        <f aca="false">Datos_Crudos!G39</f>
        <v>3092.56</v>
      </c>
      <c r="H39" s="7" t="str">
        <f aca="false">Datos_Crudos!H39</f>
        <v>Ana P.</v>
      </c>
      <c r="I39" s="7" t="str">
        <f aca="false">Datos_Crudos!I39</f>
        <v>Tarde</v>
      </c>
      <c r="J39" s="7" t="str">
        <f aca="false">TEXT(DATEVALUE(Datos_Crudos!B39),"MMM-YYYY")</f>
        <v>Jul-2024</v>
      </c>
      <c r="K39" s="7" t="str">
        <f aca="false">IF(MONTH(DATEVALUE(Datos_Crudos!B39))&lt;=6,"S1-2024","S2-2024")</f>
        <v>S2-2024</v>
      </c>
      <c r="L39" s="7" t="str">
        <f aca="false">IF(AND(Datos_Crudos!F39&gt;20,Datos_Crudos!G39&gt;2000),"CRÍTICA",IF(AND(Datos_Crudos!F39&gt;10,Datos_Crudos!G39&gt;1000),"ALTA",IF(Datos_Crudos!F39&gt;5,"MEDIA","BAJA")))</f>
        <v>CRÍTICA</v>
      </c>
    </row>
    <row r="40" customFormat="false" ht="15" hidden="false" customHeight="false" outlineLevel="0" collapsed="false">
      <c r="A40" s="7" t="str">
        <f aca="false">Datos_Crudos!A40</f>
        <v>F-0038</v>
      </c>
      <c r="B40" s="7" t="str">
        <f aca="false">Datos_Crudos!B40</f>
        <v>2024-07-06</v>
      </c>
      <c r="C40" s="7" t="str">
        <f aca="false">Datos_Crudos!C40</f>
        <v>ROB-005</v>
      </c>
      <c r="D40" s="7" t="str">
        <f aca="false">Datos_Crudos!D40</f>
        <v>Software</v>
      </c>
      <c r="E40" s="7" t="str">
        <f aca="false">Datos_Crudos!E40</f>
        <v>Panel HMI</v>
      </c>
      <c r="F40" s="7" t="n">
        <f aca="false">Datos_Crudos!F40</f>
        <v>29.6</v>
      </c>
      <c r="G40" s="8" t="n">
        <f aca="false">Datos_Crudos!G40</f>
        <v>3456.34</v>
      </c>
      <c r="H40" s="7" t="str">
        <f aca="false">Datos_Crudos!H40</f>
        <v>Miguel A.</v>
      </c>
      <c r="I40" s="7" t="str">
        <f aca="false">Datos_Crudos!I40</f>
        <v>Noche</v>
      </c>
      <c r="J40" s="7" t="str">
        <f aca="false">TEXT(DATEVALUE(Datos_Crudos!B40),"MMM-YYYY")</f>
        <v>Jul-2024</v>
      </c>
      <c r="K40" s="7" t="str">
        <f aca="false">IF(MONTH(DATEVALUE(Datos_Crudos!B40))&lt;=6,"S1-2024","S2-2024")</f>
        <v>S2-2024</v>
      </c>
      <c r="L40" s="7" t="str">
        <f aca="false">IF(AND(Datos_Crudos!F40&gt;20,Datos_Crudos!G40&gt;2000),"CRÍTICA",IF(AND(Datos_Crudos!F40&gt;10,Datos_Crudos!G40&gt;1000),"ALTA",IF(Datos_Crudos!F40&gt;5,"MEDIA","BAJA")))</f>
        <v>CRÍTICA</v>
      </c>
    </row>
    <row r="41" customFormat="false" ht="15" hidden="false" customHeight="false" outlineLevel="0" collapsed="false">
      <c r="A41" s="7" t="str">
        <f aca="false">Datos_Crudos!A41</f>
        <v>F-0039</v>
      </c>
      <c r="B41" s="7" t="str">
        <f aca="false">Datos_Crudos!B41</f>
        <v>2024-08-22</v>
      </c>
      <c r="C41" s="7" t="str">
        <f aca="false">Datos_Crudos!C41</f>
        <v>ROB-002</v>
      </c>
      <c r="D41" s="7" t="str">
        <f aca="false">Datos_Crudos!D41</f>
        <v>Sensor</v>
      </c>
      <c r="E41" s="7" t="str">
        <f aca="false">Datos_Crudos!E41</f>
        <v>Válvula solenoide</v>
      </c>
      <c r="F41" s="7" t="n">
        <f aca="false">Datos_Crudos!F41</f>
        <v>45.1</v>
      </c>
      <c r="G41" s="8" t="n">
        <f aca="false">Datos_Crudos!G41</f>
        <v>539.28</v>
      </c>
      <c r="H41" s="7" t="str">
        <f aca="false">Datos_Crudos!H41</f>
        <v>Carlos M.</v>
      </c>
      <c r="I41" s="7" t="str">
        <f aca="false">Datos_Crudos!I41</f>
        <v>Mañana</v>
      </c>
      <c r="J41" s="7" t="str">
        <f aca="false">TEXT(DATEVALUE(Datos_Crudos!B41),"MMM-YYYY")</f>
        <v>Aug-2024</v>
      </c>
      <c r="K41" s="7" t="str">
        <f aca="false">IF(MONTH(DATEVALUE(Datos_Crudos!B41))&lt;=6,"S1-2024","S2-2024")</f>
        <v>S2-2024</v>
      </c>
      <c r="L41" s="7" t="str">
        <f aca="false">IF(AND(Datos_Crudos!F41&gt;20,Datos_Crudos!G41&gt;2000),"CRÍTICA",IF(AND(Datos_Crudos!F41&gt;10,Datos_Crudos!G41&gt;1000),"ALTA",IF(Datos_Crudos!F41&gt;5,"MEDIA","BAJA")))</f>
        <v>MEDIA</v>
      </c>
    </row>
    <row r="42" customFormat="false" ht="15" hidden="false" customHeight="false" outlineLevel="0" collapsed="false">
      <c r="A42" s="7" t="str">
        <f aca="false">Datos_Crudos!A42</f>
        <v>F-0040</v>
      </c>
      <c r="B42" s="7" t="str">
        <f aca="false">Datos_Crudos!B42</f>
        <v>2024-08-05</v>
      </c>
      <c r="C42" s="7" t="str">
        <f aca="false">Datos_Crudos!C42</f>
        <v>ROB-004</v>
      </c>
      <c r="D42" s="7" t="str">
        <f aca="false">Datos_Crudos!D42</f>
        <v>Neumática</v>
      </c>
      <c r="E42" s="7" t="str">
        <f aca="false">Datos_Crudos!E42</f>
        <v>Válvula solenoide</v>
      </c>
      <c r="F42" s="7" t="n">
        <f aca="false">Datos_Crudos!F42</f>
        <v>34.6</v>
      </c>
      <c r="G42" s="8" t="n">
        <f aca="false">Datos_Crudos!G42</f>
        <v>776.3</v>
      </c>
      <c r="H42" s="7" t="str">
        <f aca="false">Datos_Crudos!H42</f>
        <v>Miguel A.</v>
      </c>
      <c r="I42" s="7" t="str">
        <f aca="false">Datos_Crudos!I42</f>
        <v>Tarde</v>
      </c>
      <c r="J42" s="7" t="str">
        <f aca="false">TEXT(DATEVALUE(Datos_Crudos!B42),"MMM-YYYY")</f>
        <v>Aug-2024</v>
      </c>
      <c r="K42" s="7" t="str">
        <f aca="false">IF(MONTH(DATEVALUE(Datos_Crudos!B42))&lt;=6,"S1-2024","S2-2024")</f>
        <v>S2-2024</v>
      </c>
      <c r="L42" s="7" t="str">
        <f aca="false">IF(AND(Datos_Crudos!F42&gt;20,Datos_Crudos!G42&gt;2000),"CRÍTICA",IF(AND(Datos_Crudos!F42&gt;10,Datos_Crudos!G42&gt;1000),"ALTA",IF(Datos_Crudos!F42&gt;5,"MEDIA","BAJA")))</f>
        <v>MEDIA</v>
      </c>
    </row>
    <row r="43" customFormat="false" ht="15" hidden="false" customHeight="false" outlineLevel="0" collapsed="false">
      <c r="A43" s="7" t="str">
        <f aca="false">Datos_Crudos!A43</f>
        <v>F-0041</v>
      </c>
      <c r="B43" s="7" t="str">
        <f aca="false">Datos_Crudos!B43</f>
        <v>2024-09-16</v>
      </c>
      <c r="C43" s="7" t="str">
        <f aca="false">Datos_Crudos!C43</f>
        <v>ROB-002</v>
      </c>
      <c r="D43" s="7" t="str">
        <f aca="false">Datos_Crudos!D43</f>
        <v>Neumática</v>
      </c>
      <c r="E43" s="7" t="str">
        <f aca="false">Datos_Crudos!E43</f>
        <v>Motor principal</v>
      </c>
      <c r="F43" s="7" t="n">
        <f aca="false">Datos_Crudos!F43</f>
        <v>30.6</v>
      </c>
      <c r="G43" s="8" t="n">
        <f aca="false">Datos_Crudos!G43</f>
        <v>2916.37</v>
      </c>
      <c r="H43" s="7" t="str">
        <f aca="false">Datos_Crudos!H43</f>
        <v>Carlos M.</v>
      </c>
      <c r="I43" s="7" t="str">
        <f aca="false">Datos_Crudos!I43</f>
        <v>Mañana</v>
      </c>
      <c r="J43" s="7" t="str">
        <f aca="false">TEXT(DATEVALUE(Datos_Crudos!B43),"MMM-YYYY")</f>
        <v>Sep-2024</v>
      </c>
      <c r="K43" s="7" t="str">
        <f aca="false">IF(MONTH(DATEVALUE(Datos_Crudos!B43))&lt;=6,"S1-2024","S2-2024")</f>
        <v>S2-2024</v>
      </c>
      <c r="L43" s="7" t="str">
        <f aca="false">IF(AND(Datos_Crudos!F43&gt;20,Datos_Crudos!G43&gt;2000),"CRÍTICA",IF(AND(Datos_Crudos!F43&gt;10,Datos_Crudos!G43&gt;1000),"ALTA",IF(Datos_Crudos!F43&gt;5,"MEDIA","BAJA")))</f>
        <v>CRÍTICA</v>
      </c>
    </row>
    <row r="44" customFormat="false" ht="15" hidden="false" customHeight="false" outlineLevel="0" collapsed="false">
      <c r="A44" s="7" t="str">
        <f aca="false">Datos_Crudos!A44</f>
        <v>F-0042</v>
      </c>
      <c r="B44" s="7" t="str">
        <f aca="false">Datos_Crudos!B44</f>
        <v>2024-09-25</v>
      </c>
      <c r="C44" s="7" t="str">
        <f aca="false">Datos_Crudos!C44</f>
        <v>ROB-003</v>
      </c>
      <c r="D44" s="7" t="str">
        <f aca="false">Datos_Crudos!D44</f>
        <v>Mecánica</v>
      </c>
      <c r="E44" s="7" t="str">
        <f aca="false">Datos_Crudos!E44</f>
        <v>Válvula solenoide</v>
      </c>
      <c r="F44" s="7" t="n">
        <f aca="false">Datos_Crudos!F44</f>
        <v>35.7</v>
      </c>
      <c r="G44" s="8" t="n">
        <f aca="false">Datos_Crudos!G44</f>
        <v>1966.75</v>
      </c>
      <c r="H44" s="7" t="str">
        <f aca="false">Datos_Crudos!H44</f>
        <v>Pedro G.</v>
      </c>
      <c r="I44" s="7" t="str">
        <f aca="false">Datos_Crudos!I44</f>
        <v>Noche</v>
      </c>
      <c r="J44" s="7" t="str">
        <f aca="false">TEXT(DATEVALUE(Datos_Crudos!B44),"MMM-YYYY")</f>
        <v>Sep-2024</v>
      </c>
      <c r="K44" s="7" t="str">
        <f aca="false">IF(MONTH(DATEVALUE(Datos_Crudos!B44))&lt;=6,"S1-2024","S2-2024")</f>
        <v>S2-2024</v>
      </c>
      <c r="L44" s="7" t="str">
        <f aca="false">IF(AND(Datos_Crudos!F44&gt;20,Datos_Crudos!G44&gt;2000),"CRÍTICA",IF(AND(Datos_Crudos!F44&gt;10,Datos_Crudos!G44&gt;1000),"ALTA",IF(Datos_Crudos!F44&gt;5,"MEDIA","BAJA")))</f>
        <v>ALTA</v>
      </c>
    </row>
    <row r="45" customFormat="false" ht="15" hidden="false" customHeight="false" outlineLevel="0" collapsed="false">
      <c r="A45" s="7" t="str">
        <f aca="false">Datos_Crudos!A45</f>
        <v>F-0043</v>
      </c>
      <c r="B45" s="7" t="str">
        <f aca="false">Datos_Crudos!B45</f>
        <v>2024-10-04</v>
      </c>
      <c r="C45" s="7" t="str">
        <f aca="false">Datos_Crudos!C45</f>
        <v>ROB-001</v>
      </c>
      <c r="D45" s="7" t="str">
        <f aca="false">Datos_Crudos!D45</f>
        <v>Eléctrica</v>
      </c>
      <c r="E45" s="7" t="str">
        <f aca="false">Datos_Crudos!E45</f>
        <v>PLC</v>
      </c>
      <c r="F45" s="7" t="n">
        <f aca="false">Datos_Crudos!F45</f>
        <v>40.1</v>
      </c>
      <c r="G45" s="8" t="n">
        <f aca="false">Datos_Crudos!G45</f>
        <v>2072.18</v>
      </c>
      <c r="H45" s="7" t="str">
        <f aca="false">Datos_Crudos!H45</f>
        <v>Ana P.</v>
      </c>
      <c r="I45" s="7" t="str">
        <f aca="false">Datos_Crudos!I45</f>
        <v>Tarde</v>
      </c>
      <c r="J45" s="7" t="str">
        <f aca="false">TEXT(DATEVALUE(Datos_Crudos!B45),"MMM-YYYY")</f>
        <v>Oct-2024</v>
      </c>
      <c r="K45" s="7" t="str">
        <f aca="false">IF(MONTH(DATEVALUE(Datos_Crudos!B45))&lt;=6,"S1-2024","S2-2024")</f>
        <v>S2-2024</v>
      </c>
      <c r="L45" s="7" t="str">
        <f aca="false">IF(AND(Datos_Crudos!F45&gt;20,Datos_Crudos!G45&gt;2000),"CRÍTICA",IF(AND(Datos_Crudos!F45&gt;10,Datos_Crudos!G45&gt;1000),"ALTA",IF(Datos_Crudos!F45&gt;5,"MEDIA","BAJA")))</f>
        <v>CRÍTICA</v>
      </c>
    </row>
    <row r="46" customFormat="false" ht="15" hidden="false" customHeight="false" outlineLevel="0" collapsed="false">
      <c r="A46" s="7" t="str">
        <f aca="false">Datos_Crudos!A46</f>
        <v>F-0044</v>
      </c>
      <c r="B46" s="7" t="str">
        <f aca="false">Datos_Crudos!B46</f>
        <v>2024-10-02</v>
      </c>
      <c r="C46" s="7" t="str">
        <f aca="false">Datos_Crudos!C46</f>
        <v>ROB-001</v>
      </c>
      <c r="D46" s="7" t="str">
        <f aca="false">Datos_Crudos!D46</f>
        <v>Neumática</v>
      </c>
      <c r="E46" s="7" t="str">
        <f aca="false">Datos_Crudos!E46</f>
        <v>Encoder rotativo</v>
      </c>
      <c r="F46" s="7" t="n">
        <f aca="false">Datos_Crudos!F46</f>
        <v>43.2</v>
      </c>
      <c r="G46" s="8" t="n">
        <f aca="false">Datos_Crudos!G46</f>
        <v>798.46</v>
      </c>
      <c r="H46" s="7" t="str">
        <f aca="false">Datos_Crudos!H46</f>
        <v>Ana P.</v>
      </c>
      <c r="I46" s="7" t="str">
        <f aca="false">Datos_Crudos!I46</f>
        <v>Noche</v>
      </c>
      <c r="J46" s="7" t="str">
        <f aca="false">TEXT(DATEVALUE(Datos_Crudos!B46),"MMM-YYYY")</f>
        <v>Oct-2024</v>
      </c>
      <c r="K46" s="7" t="str">
        <f aca="false">IF(MONTH(DATEVALUE(Datos_Crudos!B46))&lt;=6,"S1-2024","S2-2024")</f>
        <v>S2-2024</v>
      </c>
      <c r="L46" s="7" t="str">
        <f aca="false">IF(AND(Datos_Crudos!F46&gt;20,Datos_Crudos!G46&gt;2000),"CRÍTICA",IF(AND(Datos_Crudos!F46&gt;10,Datos_Crudos!G46&gt;1000),"ALTA",IF(Datos_Crudos!F46&gt;5,"MEDIA","BAJA")))</f>
        <v>MEDIA</v>
      </c>
    </row>
    <row r="47" customFormat="false" ht="15" hidden="false" customHeight="false" outlineLevel="0" collapsed="false">
      <c r="A47" s="7" t="str">
        <f aca="false">Datos_Crudos!A47</f>
        <v>F-0045</v>
      </c>
      <c r="B47" s="7" t="str">
        <f aca="false">Datos_Crudos!B47</f>
        <v>2024-11-12</v>
      </c>
      <c r="C47" s="7" t="str">
        <f aca="false">Datos_Crudos!C47</f>
        <v>ROB-003</v>
      </c>
      <c r="D47" s="7" t="str">
        <f aca="false">Datos_Crudos!D47</f>
        <v>Sensor</v>
      </c>
      <c r="E47" s="7" t="str">
        <f aca="false">Datos_Crudos!E47</f>
        <v>Cilindro hidráulico</v>
      </c>
      <c r="F47" s="7" t="n">
        <f aca="false">Datos_Crudos!F47</f>
        <v>44.5</v>
      </c>
      <c r="G47" s="8" t="n">
        <f aca="false">Datos_Crudos!G47</f>
        <v>889.64</v>
      </c>
      <c r="H47" s="7" t="str">
        <f aca="false">Datos_Crudos!H47</f>
        <v>Ana P.</v>
      </c>
      <c r="I47" s="7" t="str">
        <f aca="false">Datos_Crudos!I47</f>
        <v>Mañana</v>
      </c>
      <c r="J47" s="7" t="str">
        <f aca="false">TEXT(DATEVALUE(Datos_Crudos!B47),"MMM-YYYY")</f>
        <v>Nov-2024</v>
      </c>
      <c r="K47" s="7" t="str">
        <f aca="false">IF(MONTH(DATEVALUE(Datos_Crudos!B47))&lt;=6,"S1-2024","S2-2024")</f>
        <v>S2-2024</v>
      </c>
      <c r="L47" s="7" t="str">
        <f aca="false">IF(AND(Datos_Crudos!F47&gt;20,Datos_Crudos!G47&gt;2000),"CRÍTICA",IF(AND(Datos_Crudos!F47&gt;10,Datos_Crudos!G47&gt;1000),"ALTA",IF(Datos_Crudos!F47&gt;5,"MEDIA","BAJA")))</f>
        <v>MEDIA</v>
      </c>
    </row>
    <row r="48" customFormat="false" ht="15" hidden="false" customHeight="false" outlineLevel="0" collapsed="false">
      <c r="A48" s="7" t="str">
        <f aca="false">Datos_Crudos!A48</f>
        <v>F-0046</v>
      </c>
      <c r="B48" s="7" t="str">
        <f aca="false">Datos_Crudos!B48</f>
        <v>2024-11-01</v>
      </c>
      <c r="C48" s="7" t="str">
        <f aca="false">Datos_Crudos!C48</f>
        <v>ROB-007</v>
      </c>
      <c r="D48" s="7" t="str">
        <f aca="false">Datos_Crudos!D48</f>
        <v>Mecánica</v>
      </c>
      <c r="E48" s="7" t="str">
        <f aca="false">Datos_Crudos!E48</f>
        <v>Encoder rotativo</v>
      </c>
      <c r="F48" s="7" t="n">
        <f aca="false">Datos_Crudos!F48</f>
        <v>38.6</v>
      </c>
      <c r="G48" s="8" t="n">
        <f aca="false">Datos_Crudos!G48</f>
        <v>3035.1</v>
      </c>
      <c r="H48" s="7" t="str">
        <f aca="false">Datos_Crudos!H48</f>
        <v>Ana P.</v>
      </c>
      <c r="I48" s="7" t="str">
        <f aca="false">Datos_Crudos!I48</f>
        <v>Tarde</v>
      </c>
      <c r="J48" s="7" t="str">
        <f aca="false">TEXT(DATEVALUE(Datos_Crudos!B48),"MMM-YYYY")</f>
        <v>Nov-2024</v>
      </c>
      <c r="K48" s="7" t="str">
        <f aca="false">IF(MONTH(DATEVALUE(Datos_Crudos!B48))&lt;=6,"S1-2024","S2-2024")</f>
        <v>S2-2024</v>
      </c>
      <c r="L48" s="7" t="str">
        <f aca="false">IF(AND(Datos_Crudos!F48&gt;20,Datos_Crudos!G48&gt;2000),"CRÍTICA",IF(AND(Datos_Crudos!F48&gt;10,Datos_Crudos!G48&gt;1000),"ALTA",IF(Datos_Crudos!F48&gt;5,"MEDIA","BAJA")))</f>
        <v>CRÍTICA</v>
      </c>
    </row>
    <row r="49" customFormat="false" ht="15" hidden="false" customHeight="false" outlineLevel="0" collapsed="false">
      <c r="A49" s="7" t="str">
        <f aca="false">Datos_Crudos!A49</f>
        <v>F-0047</v>
      </c>
      <c r="B49" s="7" t="str">
        <f aca="false">Datos_Crudos!B49</f>
        <v>2024-12-26</v>
      </c>
      <c r="C49" s="7" t="str">
        <f aca="false">Datos_Crudos!C49</f>
        <v>ROB-007</v>
      </c>
      <c r="D49" s="7" t="str">
        <f aca="false">Datos_Crudos!D49</f>
        <v>Hidráulica</v>
      </c>
      <c r="E49" s="7" t="str">
        <f aca="false">Datos_Crudos!E49</f>
        <v>Actuador lineal</v>
      </c>
      <c r="F49" s="7" t="n">
        <f aca="false">Datos_Crudos!F49</f>
        <v>41.9</v>
      </c>
      <c r="G49" s="8" t="n">
        <f aca="false">Datos_Crudos!G49</f>
        <v>3016.39</v>
      </c>
      <c r="H49" s="7" t="str">
        <f aca="false">Datos_Crudos!H49</f>
        <v>Ana P.</v>
      </c>
      <c r="I49" s="7" t="str">
        <f aca="false">Datos_Crudos!I49</f>
        <v>Mañana</v>
      </c>
      <c r="J49" s="7" t="str">
        <f aca="false">TEXT(DATEVALUE(Datos_Crudos!B49),"MMM-YYYY")</f>
        <v>Dec-2024</v>
      </c>
      <c r="K49" s="7" t="str">
        <f aca="false">IF(MONTH(DATEVALUE(Datos_Crudos!B49))&lt;=6,"S1-2024","S2-2024")</f>
        <v>S2-2024</v>
      </c>
      <c r="L49" s="7" t="str">
        <f aca="false">IF(AND(Datos_Crudos!F49&gt;20,Datos_Crudos!G49&gt;2000),"CRÍTICA",IF(AND(Datos_Crudos!F49&gt;10,Datos_Crudos!G49&gt;1000),"ALTA",IF(Datos_Crudos!F49&gt;5,"MEDIA","BAJA")))</f>
        <v>CRÍTICA</v>
      </c>
    </row>
    <row r="50" customFormat="false" ht="15" hidden="false" customHeight="false" outlineLevel="0" collapsed="false">
      <c r="A50" s="7" t="str">
        <f aca="false">Datos_Crudos!A50</f>
        <v>F-0048</v>
      </c>
      <c r="B50" s="7" t="str">
        <f aca="false">Datos_Crudos!B50</f>
        <v>2024-12-12</v>
      </c>
      <c r="C50" s="7" t="str">
        <f aca="false">Datos_Crudos!C50</f>
        <v>ROB-004</v>
      </c>
      <c r="D50" s="7" t="str">
        <f aca="false">Datos_Crudos!D50</f>
        <v>Neumática</v>
      </c>
      <c r="E50" s="7" t="str">
        <f aca="false">Datos_Crudos!E50</f>
        <v>Sensor posición</v>
      </c>
      <c r="F50" s="7" t="n">
        <f aca="false">Datos_Crudos!F50</f>
        <v>1.6</v>
      </c>
      <c r="G50" s="8" t="n">
        <f aca="false">Datos_Crudos!G50</f>
        <v>740.5</v>
      </c>
      <c r="H50" s="7" t="str">
        <f aca="false">Datos_Crudos!H50</f>
        <v>Luisa R.</v>
      </c>
      <c r="I50" s="7" t="str">
        <f aca="false">Datos_Crudos!I50</f>
        <v>Tarde</v>
      </c>
      <c r="J50" s="7" t="str">
        <f aca="false">TEXT(DATEVALUE(Datos_Crudos!B50),"MMM-YYYY")</f>
        <v>Dec-2024</v>
      </c>
      <c r="K50" s="7" t="str">
        <f aca="false">IF(MONTH(DATEVALUE(Datos_Crudos!B50))&lt;=6,"S1-2024","S2-2024")</f>
        <v>S2-2024</v>
      </c>
      <c r="L50" s="7" t="str">
        <f aca="false">IF(AND(Datos_Crudos!F50&gt;20,Datos_Crudos!G50&gt;2000),"CRÍTICA",IF(AND(Datos_Crudos!F50&gt;10,Datos_Crudos!G50&gt;1000),"ALTA",IF(Datos_Crudos!F50&gt;5,"MEDIA","BAJA")))</f>
        <v>BAJA</v>
      </c>
    </row>
    <row r="51" customFormat="false" ht="15" hidden="false" customHeight="false" outlineLevel="0" collapsed="false">
      <c r="A51" s="7" t="str">
        <f aca="false">Datos_Crudos!A51</f>
        <v>F-0049</v>
      </c>
      <c r="B51" s="7" t="str">
        <f aca="false">Datos_Crudos!B51</f>
        <v>2024-01-25</v>
      </c>
      <c r="C51" s="7" t="str">
        <f aca="false">Datos_Crudos!C51</f>
        <v>ROB-007</v>
      </c>
      <c r="D51" s="7" t="str">
        <f aca="false">Datos_Crudos!D51</f>
        <v>Neumática</v>
      </c>
      <c r="E51" s="7" t="str">
        <f aca="false">Datos_Crudos!E51</f>
        <v>Encoder rotativo</v>
      </c>
      <c r="F51" s="7" t="n">
        <f aca="false">Datos_Crudos!F51</f>
        <v>32.8</v>
      </c>
      <c r="G51" s="8" t="n">
        <f aca="false">Datos_Crudos!G51</f>
        <v>2965.32</v>
      </c>
      <c r="H51" s="7" t="str">
        <f aca="false">Datos_Crudos!H51</f>
        <v>Luisa R.</v>
      </c>
      <c r="I51" s="7" t="str">
        <f aca="false">Datos_Crudos!I51</f>
        <v>Mañana</v>
      </c>
      <c r="J51" s="7" t="str">
        <f aca="false">TEXT(DATEVALUE(Datos_Crudos!B51),"MMM-YYYY")</f>
        <v>Jan-2024</v>
      </c>
      <c r="K51" s="7" t="str">
        <f aca="false">IF(MONTH(DATEVALUE(Datos_Crudos!B51))&lt;=6,"S1-2024","S2-2024")</f>
        <v>S1-2024</v>
      </c>
      <c r="L51" s="7" t="str">
        <f aca="false">IF(AND(Datos_Crudos!F51&gt;20,Datos_Crudos!G51&gt;2000),"CRÍTICA",IF(AND(Datos_Crudos!F51&gt;10,Datos_Crudos!G51&gt;1000),"ALTA",IF(Datos_Crudos!F51&gt;5,"MEDIA","BAJA")))</f>
        <v>CRÍTICA</v>
      </c>
    </row>
    <row r="52" customFormat="false" ht="15" hidden="false" customHeight="false" outlineLevel="0" collapsed="false">
      <c r="A52" s="7" t="str">
        <f aca="false">Datos_Crudos!A52</f>
        <v>F-0050</v>
      </c>
      <c r="B52" s="7" t="str">
        <f aca="false">Datos_Crudos!B52</f>
        <v>2024-01-09</v>
      </c>
      <c r="C52" s="7" t="str">
        <f aca="false">Datos_Crudos!C52</f>
        <v>ROB-005</v>
      </c>
      <c r="D52" s="7" t="str">
        <f aca="false">Datos_Crudos!D52</f>
        <v>Mecánica</v>
      </c>
      <c r="E52" s="7" t="str">
        <f aca="false">Datos_Crudos!E52</f>
        <v>Reductor planetario</v>
      </c>
      <c r="F52" s="7" t="n">
        <f aca="false">Datos_Crudos!F52</f>
        <v>2.3</v>
      </c>
      <c r="G52" s="8" t="n">
        <f aca="false">Datos_Crudos!G52</f>
        <v>2120.27</v>
      </c>
      <c r="H52" s="7" t="str">
        <f aca="false">Datos_Crudos!H52</f>
        <v>Luisa R.</v>
      </c>
      <c r="I52" s="7" t="str">
        <f aca="false">Datos_Crudos!I52</f>
        <v>Noche</v>
      </c>
      <c r="J52" s="7" t="str">
        <f aca="false">TEXT(DATEVALUE(Datos_Crudos!B52),"MMM-YYYY")</f>
        <v>Jan-2024</v>
      </c>
      <c r="K52" s="7" t="str">
        <f aca="false">IF(MONTH(DATEVALUE(Datos_Crudos!B52))&lt;=6,"S1-2024","S2-2024")</f>
        <v>S1-2024</v>
      </c>
      <c r="L52" s="7" t="str">
        <f aca="false">IF(AND(Datos_Crudos!F52&gt;20,Datos_Crudos!G52&gt;2000),"CRÍTICA",IF(AND(Datos_Crudos!F52&gt;10,Datos_Crudos!G52&gt;1000),"ALTA",IF(Datos_Crudos!F52&gt;5,"MEDIA","BAJA")))</f>
        <v>BAJA</v>
      </c>
    </row>
    <row r="53" customFormat="false" ht="15" hidden="false" customHeight="false" outlineLevel="0" collapsed="false">
      <c r="A53" s="7" t="str">
        <f aca="false">Datos_Crudos!A53</f>
        <v>F-0051</v>
      </c>
      <c r="B53" s="7" t="str">
        <f aca="false">Datos_Crudos!B53</f>
        <v>2024-02-14</v>
      </c>
      <c r="C53" s="7" t="str">
        <f aca="false">Datos_Crudos!C53</f>
        <v>ROB-002</v>
      </c>
      <c r="D53" s="7" t="str">
        <f aca="false">Datos_Crudos!D53</f>
        <v>Sensor</v>
      </c>
      <c r="E53" s="7" t="str">
        <f aca="false">Datos_Crudos!E53</f>
        <v>Panel HMI</v>
      </c>
      <c r="F53" s="7" t="n">
        <f aca="false">Datos_Crudos!F53</f>
        <v>18.8</v>
      </c>
      <c r="G53" s="8" t="n">
        <f aca="false">Datos_Crudos!G53</f>
        <v>2051.93</v>
      </c>
      <c r="H53" s="7" t="str">
        <f aca="false">Datos_Crudos!H53</f>
        <v>Luisa R.</v>
      </c>
      <c r="I53" s="7" t="str">
        <f aca="false">Datos_Crudos!I53</f>
        <v>Mañana</v>
      </c>
      <c r="J53" s="7" t="str">
        <f aca="false">TEXT(DATEVALUE(Datos_Crudos!B53),"MMM-YYYY")</f>
        <v>Feb-2024</v>
      </c>
      <c r="K53" s="7" t="str">
        <f aca="false">IF(MONTH(DATEVALUE(Datos_Crudos!B53))&lt;=6,"S1-2024","S2-2024")</f>
        <v>S1-2024</v>
      </c>
      <c r="L53" s="7" t="str">
        <f aca="false">IF(AND(Datos_Crudos!F53&gt;20,Datos_Crudos!G53&gt;2000),"CRÍTICA",IF(AND(Datos_Crudos!F53&gt;10,Datos_Crudos!G53&gt;1000),"ALTA",IF(Datos_Crudos!F53&gt;5,"MEDIA","BAJA")))</f>
        <v>ALTA</v>
      </c>
    </row>
    <row r="54" customFormat="false" ht="15" hidden="false" customHeight="false" outlineLevel="0" collapsed="false">
      <c r="A54" s="7" t="str">
        <f aca="false">Datos_Crudos!A54</f>
        <v>F-0052</v>
      </c>
      <c r="B54" s="7" t="str">
        <f aca="false">Datos_Crudos!B54</f>
        <v>2024-02-01</v>
      </c>
      <c r="C54" s="7" t="str">
        <f aca="false">Datos_Crudos!C54</f>
        <v>ROB-004</v>
      </c>
      <c r="D54" s="7" t="str">
        <f aca="false">Datos_Crudos!D54</f>
        <v>Sensor</v>
      </c>
      <c r="E54" s="7" t="str">
        <f aca="false">Datos_Crudos!E54</f>
        <v>Panel HMI</v>
      </c>
      <c r="F54" s="7" t="n">
        <f aca="false">Datos_Crudos!F54</f>
        <v>17.8</v>
      </c>
      <c r="G54" s="8" t="n">
        <f aca="false">Datos_Crudos!G54</f>
        <v>319.31</v>
      </c>
      <c r="H54" s="7" t="str">
        <f aca="false">Datos_Crudos!H54</f>
        <v>Miguel A.</v>
      </c>
      <c r="I54" s="7" t="str">
        <f aca="false">Datos_Crudos!I54</f>
        <v>Tarde</v>
      </c>
      <c r="J54" s="7" t="str">
        <f aca="false">TEXT(DATEVALUE(Datos_Crudos!B54),"MMM-YYYY")</f>
        <v>Feb-2024</v>
      </c>
      <c r="K54" s="7" t="str">
        <f aca="false">IF(MONTH(DATEVALUE(Datos_Crudos!B54))&lt;=6,"S1-2024","S2-2024")</f>
        <v>S1-2024</v>
      </c>
      <c r="L54" s="7" t="str">
        <f aca="false">IF(AND(Datos_Crudos!F54&gt;20,Datos_Crudos!G54&gt;2000),"CRÍTICA",IF(AND(Datos_Crudos!F54&gt;10,Datos_Crudos!G54&gt;1000),"ALTA",IF(Datos_Crudos!F54&gt;5,"MEDIA","BAJA")))</f>
        <v>MEDIA</v>
      </c>
    </row>
    <row r="55" customFormat="false" ht="15" hidden="false" customHeight="false" outlineLevel="0" collapsed="false">
      <c r="A55" s="7" t="str">
        <f aca="false">Datos_Crudos!A55</f>
        <v>F-0053</v>
      </c>
      <c r="B55" s="7" t="str">
        <f aca="false">Datos_Crudos!B55</f>
        <v>2024-03-11</v>
      </c>
      <c r="C55" s="7" t="str">
        <f aca="false">Datos_Crudos!C55</f>
        <v>ROB-005</v>
      </c>
      <c r="D55" s="7" t="str">
        <f aca="false">Datos_Crudos!D55</f>
        <v>Hidráulica</v>
      </c>
      <c r="E55" s="7" t="str">
        <f aca="false">Datos_Crudos!E55</f>
        <v>Actuador lineal</v>
      </c>
      <c r="F55" s="7" t="n">
        <f aca="false">Datos_Crudos!F55</f>
        <v>24.6</v>
      </c>
      <c r="G55" s="8" t="n">
        <f aca="false">Datos_Crudos!G55</f>
        <v>2360.77</v>
      </c>
      <c r="H55" s="7" t="str">
        <f aca="false">Datos_Crudos!H55</f>
        <v>Luisa R.</v>
      </c>
      <c r="I55" s="7" t="str">
        <f aca="false">Datos_Crudos!I55</f>
        <v>Tarde</v>
      </c>
      <c r="J55" s="7" t="str">
        <f aca="false">TEXT(DATEVALUE(Datos_Crudos!B55),"MMM-YYYY")</f>
        <v>Mar-2024</v>
      </c>
      <c r="K55" s="7" t="str">
        <f aca="false">IF(MONTH(DATEVALUE(Datos_Crudos!B55))&lt;=6,"S1-2024","S2-2024")</f>
        <v>S1-2024</v>
      </c>
      <c r="L55" s="7" t="str">
        <f aca="false">IF(AND(Datos_Crudos!F55&gt;20,Datos_Crudos!G55&gt;2000),"CRÍTICA",IF(AND(Datos_Crudos!F55&gt;10,Datos_Crudos!G55&gt;1000),"ALTA",IF(Datos_Crudos!F55&gt;5,"MEDIA","BAJA")))</f>
        <v>CRÍTICA</v>
      </c>
    </row>
    <row r="56" customFormat="false" ht="15" hidden="false" customHeight="false" outlineLevel="0" collapsed="false">
      <c r="A56" s="7" t="str">
        <f aca="false">Datos_Crudos!A56</f>
        <v>F-0054</v>
      </c>
      <c r="B56" s="7" t="str">
        <f aca="false">Datos_Crudos!B56</f>
        <v>2024-03-18</v>
      </c>
      <c r="C56" s="7" t="str">
        <f aca="false">Datos_Crudos!C56</f>
        <v>ROB-007</v>
      </c>
      <c r="D56" s="7" t="str">
        <f aca="false">Datos_Crudos!D56</f>
        <v>Mecánica</v>
      </c>
      <c r="E56" s="7" t="str">
        <f aca="false">Datos_Crudos!E56</f>
        <v>Sensor posición</v>
      </c>
      <c r="F56" s="7" t="n">
        <f aca="false">Datos_Crudos!F56</f>
        <v>32.1</v>
      </c>
      <c r="G56" s="8" t="n">
        <f aca="false">Datos_Crudos!G56</f>
        <v>1376.68</v>
      </c>
      <c r="H56" s="7" t="str">
        <f aca="false">Datos_Crudos!H56</f>
        <v>Miguel A.</v>
      </c>
      <c r="I56" s="7" t="str">
        <f aca="false">Datos_Crudos!I56</f>
        <v>Mañana</v>
      </c>
      <c r="J56" s="7" t="str">
        <f aca="false">TEXT(DATEVALUE(Datos_Crudos!B56),"MMM-YYYY")</f>
        <v>Mar-2024</v>
      </c>
      <c r="K56" s="7" t="str">
        <f aca="false">IF(MONTH(DATEVALUE(Datos_Crudos!B56))&lt;=6,"S1-2024","S2-2024")</f>
        <v>S1-2024</v>
      </c>
      <c r="L56" s="7" t="str">
        <f aca="false">IF(AND(Datos_Crudos!F56&gt;20,Datos_Crudos!G56&gt;2000),"CRÍTICA",IF(AND(Datos_Crudos!F56&gt;10,Datos_Crudos!G56&gt;1000),"ALTA",IF(Datos_Crudos!F56&gt;5,"MEDIA","BAJA")))</f>
        <v>ALTA</v>
      </c>
    </row>
    <row r="57" customFormat="false" ht="15" hidden="false" customHeight="false" outlineLevel="0" collapsed="false">
      <c r="A57" s="7" t="str">
        <f aca="false">Datos_Crudos!A57</f>
        <v>F-0055</v>
      </c>
      <c r="B57" s="7" t="str">
        <f aca="false">Datos_Crudos!B57</f>
        <v>2024-04-19</v>
      </c>
      <c r="C57" s="7" t="str">
        <f aca="false">Datos_Crudos!C57</f>
        <v>ROB-001</v>
      </c>
      <c r="D57" s="7" t="str">
        <f aca="false">Datos_Crudos!D57</f>
        <v>Neumática</v>
      </c>
      <c r="E57" s="7" t="str">
        <f aca="false">Datos_Crudos!E57</f>
        <v>Cilindro hidráulico</v>
      </c>
      <c r="F57" s="7" t="n">
        <f aca="false">Datos_Crudos!F57</f>
        <v>14.9</v>
      </c>
      <c r="G57" s="8" t="n">
        <f aca="false">Datos_Crudos!G57</f>
        <v>798.82</v>
      </c>
      <c r="H57" s="7" t="str">
        <f aca="false">Datos_Crudos!H57</f>
        <v>Diana F.</v>
      </c>
      <c r="I57" s="7" t="str">
        <f aca="false">Datos_Crudos!I57</f>
        <v>Noche</v>
      </c>
      <c r="J57" s="7" t="str">
        <f aca="false">TEXT(DATEVALUE(Datos_Crudos!B57),"MMM-YYYY")</f>
        <v>Apr-2024</v>
      </c>
      <c r="K57" s="7" t="str">
        <f aca="false">IF(MONTH(DATEVALUE(Datos_Crudos!B57))&lt;=6,"S1-2024","S2-2024")</f>
        <v>S1-2024</v>
      </c>
      <c r="L57" s="7" t="str">
        <f aca="false">IF(AND(Datos_Crudos!F57&gt;20,Datos_Crudos!G57&gt;2000),"CRÍTICA",IF(AND(Datos_Crudos!F57&gt;10,Datos_Crudos!G57&gt;1000),"ALTA",IF(Datos_Crudos!F57&gt;5,"MEDIA","BAJA")))</f>
        <v>MEDIA</v>
      </c>
    </row>
    <row r="58" customFormat="false" ht="15" hidden="false" customHeight="false" outlineLevel="0" collapsed="false">
      <c r="A58" s="7" t="str">
        <f aca="false">Datos_Crudos!A58</f>
        <v>F-0056</v>
      </c>
      <c r="B58" s="7" t="str">
        <f aca="false">Datos_Crudos!B58</f>
        <v>2024-04-15</v>
      </c>
      <c r="C58" s="7" t="str">
        <f aca="false">Datos_Crudos!C58</f>
        <v>ROB-004</v>
      </c>
      <c r="D58" s="7" t="str">
        <f aca="false">Datos_Crudos!D58</f>
        <v>Software</v>
      </c>
      <c r="E58" s="7" t="str">
        <f aca="false">Datos_Crudos!E58</f>
        <v>Servo drive</v>
      </c>
      <c r="F58" s="7" t="n">
        <f aca="false">Datos_Crudos!F58</f>
        <v>24.8</v>
      </c>
      <c r="G58" s="8" t="n">
        <f aca="false">Datos_Crudos!G58</f>
        <v>2794.58</v>
      </c>
      <c r="H58" s="7" t="str">
        <f aca="false">Datos_Crudos!H58</f>
        <v>Miguel A.</v>
      </c>
      <c r="I58" s="7" t="str">
        <f aca="false">Datos_Crudos!I58</f>
        <v>Mañana</v>
      </c>
      <c r="J58" s="7" t="str">
        <f aca="false">TEXT(DATEVALUE(Datos_Crudos!B58),"MMM-YYYY")</f>
        <v>Apr-2024</v>
      </c>
      <c r="K58" s="7" t="str">
        <f aca="false">IF(MONTH(DATEVALUE(Datos_Crudos!B58))&lt;=6,"S1-2024","S2-2024")</f>
        <v>S1-2024</v>
      </c>
      <c r="L58" s="7" t="str">
        <f aca="false">IF(AND(Datos_Crudos!F58&gt;20,Datos_Crudos!G58&gt;2000),"CRÍTICA",IF(AND(Datos_Crudos!F58&gt;10,Datos_Crudos!G58&gt;1000),"ALTA",IF(Datos_Crudos!F58&gt;5,"MEDIA","BAJA")))</f>
        <v>CRÍTICA</v>
      </c>
    </row>
    <row r="59" customFormat="false" ht="15" hidden="false" customHeight="false" outlineLevel="0" collapsed="false">
      <c r="A59" s="7" t="str">
        <f aca="false">Datos_Crudos!A59</f>
        <v>F-0057</v>
      </c>
      <c r="B59" s="7" t="str">
        <f aca="false">Datos_Crudos!B59</f>
        <v>2024-05-10</v>
      </c>
      <c r="C59" s="7" t="str">
        <f aca="false">Datos_Crudos!C59</f>
        <v>ROB-006</v>
      </c>
      <c r="D59" s="7" t="str">
        <f aca="false">Datos_Crudos!D59</f>
        <v>Sensor</v>
      </c>
      <c r="E59" s="7" t="str">
        <f aca="false">Datos_Crudos!E59</f>
        <v>Reductor planetario</v>
      </c>
      <c r="F59" s="7" t="n">
        <f aca="false">Datos_Crudos!F59</f>
        <v>4.9</v>
      </c>
      <c r="G59" s="8" t="n">
        <f aca="false">Datos_Crudos!G59</f>
        <v>3335.84</v>
      </c>
      <c r="H59" s="7" t="str">
        <f aca="false">Datos_Crudos!H59</f>
        <v>Ana P.</v>
      </c>
      <c r="I59" s="7" t="str">
        <f aca="false">Datos_Crudos!I59</f>
        <v>Noche</v>
      </c>
      <c r="J59" s="7" t="str">
        <f aca="false">TEXT(DATEVALUE(Datos_Crudos!B59),"MMM-YYYY")</f>
        <v>May-2024</v>
      </c>
      <c r="K59" s="7" t="str">
        <f aca="false">IF(MONTH(DATEVALUE(Datos_Crudos!B59))&lt;=6,"S1-2024","S2-2024")</f>
        <v>S1-2024</v>
      </c>
      <c r="L59" s="7" t="str">
        <f aca="false">IF(AND(Datos_Crudos!F59&gt;20,Datos_Crudos!G59&gt;2000),"CRÍTICA",IF(AND(Datos_Crudos!F59&gt;10,Datos_Crudos!G59&gt;1000),"ALTA",IF(Datos_Crudos!F59&gt;5,"MEDIA","BAJA")))</f>
        <v>BAJA</v>
      </c>
    </row>
    <row r="60" customFormat="false" ht="15" hidden="false" customHeight="false" outlineLevel="0" collapsed="false">
      <c r="A60" s="7" t="str">
        <f aca="false">Datos_Crudos!A60</f>
        <v>F-0058</v>
      </c>
      <c r="B60" s="7" t="str">
        <f aca="false">Datos_Crudos!B60</f>
        <v>2024-05-08</v>
      </c>
      <c r="C60" s="7" t="str">
        <f aca="false">Datos_Crudos!C60</f>
        <v>ROB-001</v>
      </c>
      <c r="D60" s="7" t="str">
        <f aca="false">Datos_Crudos!D60</f>
        <v>Mecánica</v>
      </c>
      <c r="E60" s="7" t="str">
        <f aca="false">Datos_Crudos!E60</f>
        <v>PLC</v>
      </c>
      <c r="F60" s="7" t="n">
        <f aca="false">Datos_Crudos!F60</f>
        <v>2.7</v>
      </c>
      <c r="G60" s="8" t="n">
        <f aca="false">Datos_Crudos!G60</f>
        <v>3445.06</v>
      </c>
      <c r="H60" s="7" t="str">
        <f aca="false">Datos_Crudos!H60</f>
        <v>Diana F.</v>
      </c>
      <c r="I60" s="7" t="str">
        <f aca="false">Datos_Crudos!I60</f>
        <v>Mañana</v>
      </c>
      <c r="J60" s="7" t="str">
        <f aca="false">TEXT(DATEVALUE(Datos_Crudos!B60),"MMM-YYYY")</f>
        <v>May-2024</v>
      </c>
      <c r="K60" s="7" t="str">
        <f aca="false">IF(MONTH(DATEVALUE(Datos_Crudos!B60))&lt;=6,"S1-2024","S2-2024")</f>
        <v>S1-2024</v>
      </c>
      <c r="L60" s="7" t="str">
        <f aca="false">IF(AND(Datos_Crudos!F60&gt;20,Datos_Crudos!G60&gt;2000),"CRÍTICA",IF(AND(Datos_Crudos!F60&gt;10,Datos_Crudos!G60&gt;1000),"ALTA",IF(Datos_Crudos!F60&gt;5,"MEDIA","BAJA")))</f>
        <v>BAJA</v>
      </c>
    </row>
    <row r="61" customFormat="false" ht="15" hidden="false" customHeight="false" outlineLevel="0" collapsed="false">
      <c r="A61" s="7" t="str">
        <f aca="false">Datos_Crudos!A61</f>
        <v>F-0059</v>
      </c>
      <c r="B61" s="7" t="str">
        <f aca="false">Datos_Crudos!B61</f>
        <v>2024-06-14</v>
      </c>
      <c r="C61" s="7" t="str">
        <f aca="false">Datos_Crudos!C61</f>
        <v>ROB-004</v>
      </c>
      <c r="D61" s="7" t="str">
        <f aca="false">Datos_Crudos!D61</f>
        <v>Hidráulica</v>
      </c>
      <c r="E61" s="7" t="str">
        <f aca="false">Datos_Crudos!E61</f>
        <v>Reductor planetario</v>
      </c>
      <c r="F61" s="7" t="n">
        <f aca="false">Datos_Crudos!F61</f>
        <v>34.6</v>
      </c>
      <c r="G61" s="8" t="n">
        <f aca="false">Datos_Crudos!G61</f>
        <v>1393.21</v>
      </c>
      <c r="H61" s="7" t="str">
        <f aca="false">Datos_Crudos!H61</f>
        <v>Pedro G.</v>
      </c>
      <c r="I61" s="7" t="str">
        <f aca="false">Datos_Crudos!I61</f>
        <v>Mañana</v>
      </c>
      <c r="J61" s="7" t="str">
        <f aca="false">TEXT(DATEVALUE(Datos_Crudos!B61),"MMM-YYYY")</f>
        <v>Jun-2024</v>
      </c>
      <c r="K61" s="7" t="str">
        <f aca="false">IF(MONTH(DATEVALUE(Datos_Crudos!B61))&lt;=6,"S1-2024","S2-2024")</f>
        <v>S1-2024</v>
      </c>
      <c r="L61" s="7" t="str">
        <f aca="false">IF(AND(Datos_Crudos!F61&gt;20,Datos_Crudos!G61&gt;2000),"CRÍTICA",IF(AND(Datos_Crudos!F61&gt;10,Datos_Crudos!G61&gt;1000),"ALTA",IF(Datos_Crudos!F61&gt;5,"MEDIA","BAJA")))</f>
        <v>ALTA</v>
      </c>
    </row>
    <row r="62" customFormat="false" ht="15" hidden="false" customHeight="false" outlineLevel="0" collapsed="false">
      <c r="A62" s="7" t="str">
        <f aca="false">Datos_Crudos!A62</f>
        <v>F-0060</v>
      </c>
      <c r="B62" s="7" t="str">
        <f aca="false">Datos_Crudos!B62</f>
        <v>2024-06-21</v>
      </c>
      <c r="C62" s="7" t="str">
        <f aca="false">Datos_Crudos!C62</f>
        <v>ROB-002</v>
      </c>
      <c r="D62" s="7" t="str">
        <f aca="false">Datos_Crudos!D62</f>
        <v>Hidráulica</v>
      </c>
      <c r="E62" s="7" t="str">
        <f aca="false">Datos_Crudos!E62</f>
        <v>Motor principal</v>
      </c>
      <c r="F62" s="7" t="n">
        <f aca="false">Datos_Crudos!F62</f>
        <v>37.5</v>
      </c>
      <c r="G62" s="8" t="n">
        <f aca="false">Datos_Crudos!G62</f>
        <v>828.44</v>
      </c>
      <c r="H62" s="7" t="str">
        <f aca="false">Datos_Crudos!H62</f>
        <v>Miguel A.</v>
      </c>
      <c r="I62" s="7" t="str">
        <f aca="false">Datos_Crudos!I62</f>
        <v>Noche</v>
      </c>
      <c r="J62" s="7" t="str">
        <f aca="false">TEXT(DATEVALUE(Datos_Crudos!B62),"MMM-YYYY")</f>
        <v>Jun-2024</v>
      </c>
      <c r="K62" s="7" t="str">
        <f aca="false">IF(MONTH(DATEVALUE(Datos_Crudos!B62))&lt;=6,"S1-2024","S2-2024")</f>
        <v>S1-2024</v>
      </c>
      <c r="L62" s="7" t="str">
        <f aca="false">IF(AND(Datos_Crudos!F62&gt;20,Datos_Crudos!G62&gt;2000),"CRÍTICA",IF(AND(Datos_Crudos!F62&gt;10,Datos_Crudos!G62&gt;1000),"ALTA",IF(Datos_Crudos!F62&gt;5,"MEDIA","BAJA")))</f>
        <v>MEDIA</v>
      </c>
    </row>
  </sheetData>
  <mergeCells count="1">
    <mergeCell ref="A1:L1"/>
  </mergeCells>
  <conditionalFormatting sqref="L3:L62">
    <cfRule type="cellIs" priority="2" operator="equal" aboveAverage="0" equalAverage="0" bottom="0" percent="0" rank="0" text="" dxfId="0">
      <formula>"CRÍTICA"</formula>
    </cfRule>
    <cfRule type="cellIs" priority="3" operator="equal" aboveAverage="0" equalAverage="0" bottom="0" percent="0" rank="0" text="" dxfId="1">
      <formula>"ALTA"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9" min="8" style="0" width="12"/>
    <col collapsed="false" customWidth="true" hidden="false" outlineLevel="0" max="10" min="10" style="0" width="18"/>
  </cols>
  <sheetData>
    <row r="1" customFormat="false" ht="30" hidden="false" customHeight="true" outlineLevel="0" collapsed="false">
      <c r="A1" s="1" t="s">
        <v>170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9" t="s">
        <v>171</v>
      </c>
      <c r="B3" s="9"/>
      <c r="C3" s="9"/>
      <c r="E3" s="9" t="s">
        <v>172</v>
      </c>
      <c r="F3" s="9"/>
      <c r="H3" s="9" t="s">
        <v>173</v>
      </c>
      <c r="I3" s="9"/>
      <c r="J3" s="9"/>
    </row>
    <row r="4" customFormat="false" ht="15" hidden="false" customHeight="false" outlineLevel="0" collapsed="false">
      <c r="A4" s="2" t="s">
        <v>174</v>
      </c>
      <c r="B4" s="2" t="s">
        <v>175</v>
      </c>
      <c r="C4" s="2" t="s">
        <v>176</v>
      </c>
      <c r="E4" s="10" t="s">
        <v>177</v>
      </c>
      <c r="F4" s="11" t="n">
        <f aca="false">COUNTA(Datos_Limpios!A3:A62)</f>
        <v>60</v>
      </c>
      <c r="H4" s="2" t="s">
        <v>178</v>
      </c>
      <c r="I4" s="2" t="s">
        <v>175</v>
      </c>
      <c r="J4" s="2" t="s">
        <v>179</v>
      </c>
    </row>
    <row r="5" customFormat="false" ht="15" hidden="false" customHeight="false" outlineLevel="0" collapsed="false">
      <c r="A5" s="12" t="s">
        <v>14</v>
      </c>
      <c r="B5" s="13" t="n">
        <f aca="false">COUNTIF(Datos_Limpios!D3:D62,A5)</f>
        <v>8</v>
      </c>
      <c r="C5" s="14" t="n">
        <f aca="false">B5/SUM($B$5:$B$10)</f>
        <v>0.133333333333333</v>
      </c>
      <c r="E5" s="12" t="s">
        <v>180</v>
      </c>
      <c r="F5" s="15" t="n">
        <f aca="false">SUM(Datos_Limpios!G3:G62)</f>
        <v>111207.81</v>
      </c>
      <c r="H5" s="3" t="s">
        <v>21</v>
      </c>
      <c r="I5" s="13" t="n">
        <f aca="false">COUNTIF(Datos_Limpios!C3:C62,H5)</f>
        <v>8</v>
      </c>
      <c r="J5" s="16" t="n">
        <f aca="false">SUMIF(Datos_Limpios!C3:C62,H5,Datos_Limpios!G3:G62)</f>
        <v>13237.39</v>
      </c>
    </row>
    <row r="6" customFormat="false" ht="15" hidden="false" customHeight="false" outlineLevel="0" collapsed="false">
      <c r="A6" s="10" t="s">
        <v>29</v>
      </c>
      <c r="B6" s="13" t="n">
        <f aca="false">COUNTIF(Datos_Limpios!D3:D62,A6)</f>
        <v>12</v>
      </c>
      <c r="C6" s="14" t="n">
        <f aca="false">B6/SUM($B$5:$B$10)</f>
        <v>0.2</v>
      </c>
      <c r="E6" s="10" t="s">
        <v>181</v>
      </c>
      <c r="F6" s="15" t="n">
        <f aca="false">AVERAGE(Datos_Limpios!G3:G62)</f>
        <v>1853.4635</v>
      </c>
      <c r="H6" s="5" t="s">
        <v>70</v>
      </c>
      <c r="I6" s="13" t="n">
        <f aca="false">COUNTIF(Datos_Limpios!C3:C62,H6)</f>
        <v>10</v>
      </c>
      <c r="J6" s="16" t="n">
        <f aca="false">SUMIF(Datos_Limpios!C3:C62,H6,Datos_Limpios!G3:G62)</f>
        <v>19941.04</v>
      </c>
    </row>
    <row r="7" customFormat="false" ht="15" hidden="false" customHeight="false" outlineLevel="0" collapsed="false">
      <c r="A7" s="12" t="s">
        <v>36</v>
      </c>
      <c r="B7" s="13" t="n">
        <f aca="false">COUNTIF(Datos_Limpios!D3:D62,A7)</f>
        <v>11</v>
      </c>
      <c r="C7" s="14" t="n">
        <f aca="false">B7/SUM($B$5:$B$10)</f>
        <v>0.183333333333333</v>
      </c>
      <c r="E7" s="12" t="s">
        <v>182</v>
      </c>
      <c r="F7" s="17" t="n">
        <f aca="false">SUM(Datos_Limpios!F3:F62)</f>
        <v>1483.6</v>
      </c>
      <c r="H7" s="3" t="s">
        <v>75</v>
      </c>
      <c r="I7" s="13" t="n">
        <f aca="false">COUNTIF(Datos_Limpios!C3:C62,H7)</f>
        <v>6</v>
      </c>
      <c r="J7" s="16" t="n">
        <f aca="false">SUMIF(Datos_Limpios!C3:C62,H7,Datos_Limpios!G3:G62)</f>
        <v>10489.22</v>
      </c>
    </row>
    <row r="8" customFormat="false" ht="15" hidden="false" customHeight="false" outlineLevel="0" collapsed="false">
      <c r="A8" s="10" t="s">
        <v>80</v>
      </c>
      <c r="B8" s="13" t="n">
        <f aca="false">COUNTIF(Datos_Limpios!D3:D62,A8)</f>
        <v>7</v>
      </c>
      <c r="C8" s="14" t="n">
        <f aca="false">B8/SUM($B$5:$B$10)</f>
        <v>0.116666666666667</v>
      </c>
      <c r="E8" s="10" t="s">
        <v>183</v>
      </c>
      <c r="F8" s="11" t="n">
        <f aca="false">AVERAGE(Datos_Limpios!F3:F62)</f>
        <v>24.7266666666667</v>
      </c>
      <c r="H8" s="5" t="s">
        <v>35</v>
      </c>
      <c r="I8" s="13" t="n">
        <f aca="false">COUNTIF(Datos_Limpios!C3:C62,H8)</f>
        <v>14</v>
      </c>
      <c r="J8" s="16" t="n">
        <f aca="false">SUMIF(Datos_Limpios!C3:C62,H8,Datos_Limpios!G3:G62)</f>
        <v>20120.98</v>
      </c>
    </row>
    <row r="9" customFormat="false" ht="15" hidden="false" customHeight="false" outlineLevel="0" collapsed="false">
      <c r="A9" s="12" t="s">
        <v>22</v>
      </c>
      <c r="B9" s="13" t="n">
        <f aca="false">COUNTIF(Datos_Limpios!D3:D62,A9)</f>
        <v>12</v>
      </c>
      <c r="C9" s="14" t="n">
        <f aca="false">B9/SUM($B$5:$B$10)</f>
        <v>0.2</v>
      </c>
      <c r="E9" s="12" t="s">
        <v>184</v>
      </c>
      <c r="F9" s="11" t="n">
        <f aca="false">COUNTIF(Datos_Limpios!L3:L62,"CRÍTICA")</f>
        <v>19</v>
      </c>
      <c r="H9" s="3" t="s">
        <v>13</v>
      </c>
      <c r="I9" s="13" t="n">
        <f aca="false">COUNTIF(Datos_Limpios!C3:C62,H9)</f>
        <v>8</v>
      </c>
      <c r="J9" s="16" t="n">
        <f aca="false">SUMIF(Datos_Limpios!C3:C62,H9,Datos_Limpios!G3:G62)</f>
        <v>16236.09</v>
      </c>
    </row>
    <row r="10" customFormat="false" ht="15" hidden="false" customHeight="false" outlineLevel="0" collapsed="false">
      <c r="A10" s="10" t="s">
        <v>56</v>
      </c>
      <c r="B10" s="13" t="n">
        <f aca="false">COUNTIF(Datos_Limpios!D3:D62,A10)</f>
        <v>10</v>
      </c>
      <c r="C10" s="14" t="n">
        <f aca="false">B10/SUM($B$5:$B$10)</f>
        <v>0.166666666666667</v>
      </c>
      <c r="E10" s="10" t="s">
        <v>185</v>
      </c>
      <c r="F10" s="11" t="n">
        <f aca="false">COUNTIF(Datos_Limpios!L3:L62,"ALTA")</f>
        <v>19</v>
      </c>
      <c r="H10" s="5" t="s">
        <v>44</v>
      </c>
      <c r="I10" s="13" t="n">
        <f aca="false">COUNTIF(Datos_Limpios!C3:C62,H10)</f>
        <v>4</v>
      </c>
      <c r="J10" s="16" t="n">
        <f aca="false">SUMIF(Datos_Limpios!C3:C62,H10,Datos_Limpios!G3:G62)</f>
        <v>9537.53</v>
      </c>
    </row>
    <row r="11" customFormat="false" ht="15" hidden="false" customHeight="false" outlineLevel="0" collapsed="false">
      <c r="B11" s="9" t="s">
        <v>186</v>
      </c>
      <c r="C11" s="18" t="n">
        <f aca="false">SUM(B5:B10)</f>
        <v>60</v>
      </c>
      <c r="E11" s="12" t="s">
        <v>187</v>
      </c>
      <c r="F11" s="11" t="str">
        <f aca="false">INDEX(Datos_Limpios!C3:C62,MATCH(MAX(COUNTIF(Datos_Limpios!C3:C62,Datos_Limpios!C3:C62)),COUNTIF(Datos_Limpios!C3:C62,Datos_Limpios!C3:C62),0))</f>
        <v>ROB-004</v>
      </c>
      <c r="H11" s="3" t="s">
        <v>28</v>
      </c>
      <c r="I11" s="13" t="n">
        <f aca="false">COUNTIF(Datos_Limpios!C3:C62,H11)</f>
        <v>5</v>
      </c>
      <c r="J11" s="16" t="n">
        <f aca="false">SUMIF(Datos_Limpios!C3:C62,H11,Datos_Limpios!G3:G62)</f>
        <v>12488.78</v>
      </c>
    </row>
    <row r="12" customFormat="false" ht="15" hidden="false" customHeight="false" outlineLevel="0" collapsed="false">
      <c r="H12" s="5" t="s">
        <v>67</v>
      </c>
      <c r="I12" s="13" t="n">
        <f aca="false">COUNTIF(Datos_Limpios!C3:C62,H12)</f>
        <v>5</v>
      </c>
      <c r="J12" s="16" t="n">
        <f aca="false">SUMIF(Datos_Limpios!C3:C62,H12,Datos_Limpios!G3:G62)</f>
        <v>9156.78</v>
      </c>
    </row>
  </sheetData>
  <mergeCells count="4">
    <mergeCell ref="A1:H1"/>
    <mergeCell ref="A3:C3"/>
    <mergeCell ref="E3:F3"/>
    <mergeCell ref="H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17" min="6" style="0" width="9"/>
  </cols>
  <sheetData>
    <row r="1" customFormat="false" ht="21.75" hidden="false" customHeight="true" outlineLevel="0" collapsed="false">
      <c r="A1" s="19" t="s">
        <v>188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customFormat="false" ht="21.75" hidden="false" customHeight="true" outlineLevel="0" collapsed="false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customFormat="false" ht="18" hidden="false" customHeight="true" outlineLevel="0" collapsed="false">
      <c r="A3" s="20" t="s">
        <v>189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5" customFormat="false" ht="18" hidden="false" customHeight="true" outlineLevel="0" collapsed="false">
      <c r="A5" s="21" t="s">
        <v>190</v>
      </c>
      <c r="B5" s="21"/>
      <c r="C5" s="21"/>
      <c r="E5" s="22" t="s">
        <v>191</v>
      </c>
      <c r="F5" s="22"/>
      <c r="G5" s="22"/>
      <c r="I5" s="23" t="s">
        <v>192</v>
      </c>
      <c r="J5" s="23"/>
      <c r="K5" s="23"/>
      <c r="M5" s="24" t="s">
        <v>193</v>
      </c>
      <c r="N5" s="24"/>
      <c r="O5" s="24"/>
    </row>
    <row r="6" customFormat="false" ht="30" hidden="false" customHeight="true" outlineLevel="0" collapsed="false">
      <c r="A6" s="25" t="n">
        <f aca="false">Análisis!F4</f>
        <v>60</v>
      </c>
      <c r="B6" s="25"/>
      <c r="C6" s="25"/>
      <c r="E6" s="26" t="n">
        <f aca="false">Análisis!F5</f>
        <v>111207.81</v>
      </c>
      <c r="F6" s="26"/>
      <c r="G6" s="26"/>
      <c r="I6" s="27" t="n">
        <f aca="false">Análisis!F7</f>
        <v>1483.6</v>
      </c>
      <c r="J6" s="27"/>
      <c r="K6" s="27"/>
      <c r="M6" s="28" t="n">
        <f aca="false">Análisis!F9</f>
        <v>19</v>
      </c>
      <c r="N6" s="28"/>
      <c r="O6" s="28"/>
    </row>
    <row r="8" customFormat="false" ht="18" hidden="false" customHeight="true" outlineLevel="0" collapsed="false">
      <c r="A8" s="29" t="s">
        <v>194</v>
      </c>
      <c r="B8" s="29"/>
      <c r="C8" s="29"/>
      <c r="E8" s="30" t="s">
        <v>195</v>
      </c>
      <c r="F8" s="30"/>
      <c r="G8" s="30"/>
    </row>
    <row r="9" customFormat="false" ht="30" hidden="false" customHeight="true" outlineLevel="0" collapsed="false">
      <c r="A9" s="31" t="n">
        <f aca="false">Análisis!F6</f>
        <v>1853.4635</v>
      </c>
      <c r="B9" s="31"/>
      <c r="C9" s="31"/>
      <c r="E9" s="32" t="n">
        <f aca="false">Análisis!F8</f>
        <v>24.7266666666667</v>
      </c>
      <c r="F9" s="32"/>
      <c r="G9" s="32"/>
    </row>
    <row r="13" customFormat="false" ht="21.75" hidden="false" customHeight="true" outlineLevel="0" collapsed="false">
      <c r="A13" s="33" t="s">
        <v>196</v>
      </c>
      <c r="B13" s="33"/>
      <c r="C13" s="33"/>
      <c r="D13" s="33"/>
      <c r="E13" s="33"/>
      <c r="F13" s="33"/>
      <c r="G13" s="33"/>
      <c r="H13" s="33"/>
      <c r="J13" s="33" t="s">
        <v>197</v>
      </c>
      <c r="K13" s="33"/>
      <c r="L13" s="33"/>
      <c r="M13" s="33"/>
      <c r="N13" s="33"/>
      <c r="O13" s="33"/>
      <c r="P13" s="33"/>
      <c r="Q13" s="33"/>
    </row>
    <row r="32" customFormat="false" ht="15" hidden="false" customHeight="false" outlineLevel="0" collapsed="false">
      <c r="A32" s="33" t="s">
        <v>198</v>
      </c>
      <c r="B32" s="33"/>
      <c r="C32" s="33"/>
      <c r="D32" s="33"/>
      <c r="E32" s="33"/>
    </row>
    <row r="33" customFormat="false" ht="15" hidden="false" customHeight="false" outlineLevel="0" collapsed="false">
      <c r="A33" s="34" t="s">
        <v>178</v>
      </c>
      <c r="B33" s="34" t="s">
        <v>199</v>
      </c>
      <c r="C33" s="34" t="s">
        <v>179</v>
      </c>
      <c r="D33" s="34" t="s">
        <v>169</v>
      </c>
      <c r="E33" s="34" t="s">
        <v>10</v>
      </c>
    </row>
    <row r="34" customFormat="false" ht="15" hidden="false" customHeight="false" outlineLevel="0" collapsed="false">
      <c r="A34" s="5" t="s">
        <v>21</v>
      </c>
      <c r="B34" s="13" t="n">
        <f aca="false">COUNTIF(Datos_Limpios!C3:C62,A34)</f>
        <v>8</v>
      </c>
      <c r="C34" s="16" t="n">
        <f aca="false">SUMIF(Datos_Limpios!C3:C62,A34,Datos_Limpios!G3:G62)</f>
        <v>13237.39</v>
      </c>
      <c r="D34" s="13" t="str">
        <f aca="false">IF(B34&gt;8,"Alto",IF(B34&gt;5,"Medio","Bajo"))</f>
        <v>Medio</v>
      </c>
      <c r="E34" s="13" t="str">
        <f aca="false">IF(D34="Alto","⚠ Revisar",IF(D34="Medio","✓ Monitorear","✓ OK"))</f>
        <v>✓ Monitorear</v>
      </c>
    </row>
    <row r="35" customFormat="false" ht="15" hidden="false" customHeight="false" outlineLevel="0" collapsed="false">
      <c r="A35" s="3" t="s">
        <v>70</v>
      </c>
      <c r="B35" s="13" t="n">
        <f aca="false">COUNTIF(Datos_Limpios!C3:C62,A35)</f>
        <v>10</v>
      </c>
      <c r="C35" s="16" t="n">
        <f aca="false">SUMIF(Datos_Limpios!C3:C62,A35,Datos_Limpios!G3:G62)</f>
        <v>19941.04</v>
      </c>
      <c r="D35" s="13" t="str">
        <f aca="false">IF(B35&gt;8,"Alto",IF(B35&gt;5,"Medio","Bajo"))</f>
        <v>Alto</v>
      </c>
      <c r="E35" s="13" t="str">
        <f aca="false">IF(D35="Alto","⚠ Revisar",IF(D35="Medio","✓ Monitorear","✓ OK"))</f>
        <v>⚠ Revisar</v>
      </c>
    </row>
    <row r="36" customFormat="false" ht="15" hidden="false" customHeight="false" outlineLevel="0" collapsed="false">
      <c r="A36" s="5" t="s">
        <v>75</v>
      </c>
      <c r="B36" s="13" t="n">
        <f aca="false">COUNTIF(Datos_Limpios!C3:C62,A36)</f>
        <v>6</v>
      </c>
      <c r="C36" s="16" t="n">
        <f aca="false">SUMIF(Datos_Limpios!C3:C62,A36,Datos_Limpios!G3:G62)</f>
        <v>10489.22</v>
      </c>
      <c r="D36" s="13" t="str">
        <f aca="false">IF(B36&gt;8,"Alto",IF(B36&gt;5,"Medio","Bajo"))</f>
        <v>Medio</v>
      </c>
      <c r="E36" s="13" t="str">
        <f aca="false">IF(D36="Alto","⚠ Revisar",IF(D36="Medio","✓ Monitorear","✓ OK"))</f>
        <v>✓ Monitorear</v>
      </c>
    </row>
    <row r="37" customFormat="false" ht="15" hidden="false" customHeight="false" outlineLevel="0" collapsed="false">
      <c r="A37" s="3" t="s">
        <v>35</v>
      </c>
      <c r="B37" s="13" t="n">
        <f aca="false">COUNTIF(Datos_Limpios!C3:C62,A37)</f>
        <v>14</v>
      </c>
      <c r="C37" s="16" t="n">
        <f aca="false">SUMIF(Datos_Limpios!C3:C62,A37,Datos_Limpios!G3:G62)</f>
        <v>20120.98</v>
      </c>
      <c r="D37" s="13" t="str">
        <f aca="false">IF(B37&gt;8,"Alto",IF(B37&gt;5,"Medio","Bajo"))</f>
        <v>Alto</v>
      </c>
      <c r="E37" s="13" t="str">
        <f aca="false">IF(D37="Alto","⚠ Revisar",IF(D37="Medio","✓ Monitorear","✓ OK"))</f>
        <v>⚠ Revisar</v>
      </c>
    </row>
    <row r="38" customFormat="false" ht="15" hidden="false" customHeight="false" outlineLevel="0" collapsed="false">
      <c r="A38" s="5" t="s">
        <v>13</v>
      </c>
      <c r="B38" s="13" t="n">
        <f aca="false">COUNTIF(Datos_Limpios!C3:C62,A38)</f>
        <v>8</v>
      </c>
      <c r="C38" s="16" t="n">
        <f aca="false">SUMIF(Datos_Limpios!C3:C62,A38,Datos_Limpios!G3:G62)</f>
        <v>16236.09</v>
      </c>
      <c r="D38" s="13" t="str">
        <f aca="false">IF(B38&gt;8,"Alto",IF(B38&gt;5,"Medio","Bajo"))</f>
        <v>Medio</v>
      </c>
      <c r="E38" s="13" t="str">
        <f aca="false">IF(D38="Alto","⚠ Revisar",IF(D38="Medio","✓ Monitorear","✓ OK"))</f>
        <v>✓ Monitorear</v>
      </c>
    </row>
    <row r="39" customFormat="false" ht="15" hidden="false" customHeight="false" outlineLevel="0" collapsed="false">
      <c r="A39" s="3" t="s">
        <v>44</v>
      </c>
      <c r="B39" s="13" t="n">
        <f aca="false">COUNTIF(Datos_Limpios!C3:C62,A39)</f>
        <v>4</v>
      </c>
      <c r="C39" s="16" t="n">
        <f aca="false">SUMIF(Datos_Limpios!C3:C62,A39,Datos_Limpios!G3:G62)</f>
        <v>9537.53</v>
      </c>
      <c r="D39" s="13" t="str">
        <f aca="false">IF(B39&gt;8,"Alto",IF(B39&gt;5,"Medio","Bajo"))</f>
        <v>Bajo</v>
      </c>
      <c r="E39" s="13" t="str">
        <f aca="false">IF(D39="Alto","⚠ Revisar",IF(D39="Medio","✓ Monitorear","✓ OK"))</f>
        <v>✓ OK</v>
      </c>
    </row>
    <row r="40" customFormat="false" ht="15" hidden="false" customHeight="false" outlineLevel="0" collapsed="false">
      <c r="A40" s="5" t="s">
        <v>28</v>
      </c>
      <c r="B40" s="13" t="n">
        <f aca="false">COUNTIF(Datos_Limpios!C3:C62,A40)</f>
        <v>5</v>
      </c>
      <c r="C40" s="16" t="n">
        <f aca="false">SUMIF(Datos_Limpios!C3:C62,A40,Datos_Limpios!G3:G62)</f>
        <v>12488.78</v>
      </c>
      <c r="D40" s="13" t="str">
        <f aca="false">IF(B40&gt;8,"Alto",IF(B40&gt;5,"Medio","Bajo"))</f>
        <v>Bajo</v>
      </c>
      <c r="E40" s="13" t="str">
        <f aca="false">IF(D40="Alto","⚠ Revisar",IF(D40="Medio","✓ Monitorear","✓ OK"))</f>
        <v>✓ OK</v>
      </c>
    </row>
    <row r="41" customFormat="false" ht="15" hidden="false" customHeight="false" outlineLevel="0" collapsed="false">
      <c r="A41" s="3" t="s">
        <v>67</v>
      </c>
      <c r="B41" s="13" t="n">
        <f aca="false">COUNTIF(Datos_Limpios!C3:C62,A41)</f>
        <v>5</v>
      </c>
      <c r="C41" s="16" t="n">
        <f aca="false">SUMIF(Datos_Limpios!C3:C62,A41,Datos_Limpios!G3:G62)</f>
        <v>9156.78</v>
      </c>
      <c r="D41" s="13" t="str">
        <f aca="false">IF(B41&gt;8,"Alto",IF(B41&gt;5,"Medio","Bajo"))</f>
        <v>Bajo</v>
      </c>
      <c r="E41" s="13" t="str">
        <f aca="false">IF(D41="Alto","⚠ Revisar",IF(D41="Medio","✓ Monitorear","✓ OK"))</f>
        <v>✓ OK</v>
      </c>
    </row>
  </sheetData>
  <mergeCells count="17">
    <mergeCell ref="A1:Q2"/>
    <mergeCell ref="A3:Q3"/>
    <mergeCell ref="A5:C5"/>
    <mergeCell ref="E5:G5"/>
    <mergeCell ref="I5:K5"/>
    <mergeCell ref="M5:O5"/>
    <mergeCell ref="A6:C6"/>
    <mergeCell ref="E6:G6"/>
    <mergeCell ref="I6:K6"/>
    <mergeCell ref="M6:O6"/>
    <mergeCell ref="A8:C8"/>
    <mergeCell ref="E8:G8"/>
    <mergeCell ref="A9:C9"/>
    <mergeCell ref="E9:G9"/>
    <mergeCell ref="A13:H13"/>
    <mergeCell ref="J13:Q13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30" hidden="false" customHeight="true" outlineLevel="0" collapsed="false">
      <c r="A1" s="1" t="s">
        <v>200</v>
      </c>
      <c r="B1" s="1"/>
    </row>
    <row r="2" customFormat="false" ht="15" hidden="false" customHeight="false" outlineLevel="0" collapsed="false">
      <c r="A2" s="35" t="s">
        <v>201</v>
      </c>
      <c r="B2" s="35" t="s">
        <v>202</v>
      </c>
    </row>
    <row r="3" customFormat="false" ht="15" hidden="false" customHeight="false" outlineLevel="0" collapsed="false">
      <c r="A3" s="12" t="s">
        <v>203</v>
      </c>
      <c r="B3" s="12" t="s">
        <v>204</v>
      </c>
    </row>
    <row r="4" customFormat="false" ht="15" hidden="false" customHeight="false" outlineLevel="0" collapsed="false">
      <c r="A4" s="10" t="s">
        <v>205</v>
      </c>
      <c r="B4" s="10" t="s">
        <v>206</v>
      </c>
    </row>
    <row r="5" customFormat="false" ht="15" hidden="false" customHeight="false" outlineLevel="0" collapsed="false">
      <c r="A5" s="12" t="s">
        <v>207</v>
      </c>
      <c r="B5" s="12" t="s">
        <v>208</v>
      </c>
    </row>
    <row r="6" customFormat="false" ht="15" hidden="false" customHeight="false" outlineLevel="0" collapsed="false">
      <c r="A6" s="10" t="s">
        <v>209</v>
      </c>
      <c r="B6" s="10" t="s">
        <v>210</v>
      </c>
    </row>
    <row r="7" customFormat="false" ht="15" hidden="false" customHeight="false" outlineLevel="0" collapsed="false">
      <c r="A7" s="12" t="s">
        <v>211</v>
      </c>
      <c r="B7" s="12" t="s">
        <v>212</v>
      </c>
    </row>
    <row r="8" customFormat="false" ht="15" hidden="false" customHeight="false" outlineLevel="0" collapsed="false">
      <c r="A8" s="10" t="s">
        <v>213</v>
      </c>
      <c r="B8" s="10" t="s">
        <v>214</v>
      </c>
    </row>
    <row r="9" customFormat="false" ht="15" hidden="false" customHeight="false" outlineLevel="0" collapsed="false">
      <c r="A9" s="12" t="s">
        <v>215</v>
      </c>
      <c r="B9" s="12" t="s">
        <v>216</v>
      </c>
    </row>
    <row r="10" customFormat="false" ht="15" hidden="false" customHeight="false" outlineLevel="0" collapsed="false">
      <c r="A10" s="10" t="s">
        <v>217</v>
      </c>
      <c r="B10" s="10" t="s">
        <v>218</v>
      </c>
    </row>
    <row r="11" customFormat="false" ht="15" hidden="false" customHeight="false" outlineLevel="0" collapsed="false">
      <c r="A11" s="12" t="s">
        <v>219</v>
      </c>
      <c r="B11" s="12" t="s">
        <v>220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2026-03-22T19:34:15Z</dcterms:created>
  <dc:creator>openpyxl</dc:creator>
  <dc:description/>
  <dc:language>en-US</dc:language>
  <cp:lastModifiedBy/>
  <dcterms:modified xsi:type="dcterms:W3CDTF">2026-03-22T19:34:25Z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